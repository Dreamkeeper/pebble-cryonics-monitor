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full_table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Z25">
      <text>
        <t xml:space="preserve">https://support.nimb.com/en/support/solutions/articles/2100038383-how-do-i-update-the-ring-s-firmware-</t>
      </text>
    </comment>
    <comment authorId="0" ref="X21">
      <text>
        <t xml:space="preserve">http://llresponse.com/enterprise.html</t>
      </text>
    </comment>
    <comment authorId="0" ref="Q13">
      <text>
        <t xml:space="preserve">https://www.consumeraffairs.com/age/philips-lifeline.html</t>
      </text>
    </comment>
    <comment authorId="0" ref="AU37">
      <text>
        <t xml:space="preserve">https://www.rescuealert.com/product/mobilePERS</t>
      </text>
    </comment>
    <comment authorId="0" ref="X13">
      <text>
        <t xml:space="preserve">https://www.lifeline.philips.com/business.html</t>
      </text>
    </comment>
    <comment authorId="0" ref="AC17">
      <text>
        <t xml:space="preserve">TWIG, 2019: "We don't have any distributors in the US as TWIG devices don't have any type approval in the US."</t>
      </text>
    </comment>
    <comment authorId="0" ref="AG13">
      <text>
        <t xml:space="preserve">source: https://medalerthelp.org/philips-lifeline-gosafe-2-review/</t>
      </text>
    </comment>
    <comment authorId="0" ref="Y22">
      <text>
        <t xml:space="preserve">https://shop.minifinder.com/minifinder-go-system</t>
      </text>
    </comment>
    <comment authorId="0" ref="Q14">
      <text>
        <t xml:space="preserve">https://www.consumeraffairs.com/medical-alert-systems/medical-guardian.html</t>
      </text>
    </comment>
    <comment authorId="0" ref="X14">
      <text>
        <t xml:space="preserve">https://www.medicalguardian.com/partners/healthcare</t>
      </text>
    </comment>
    <comment authorId="0" ref="E23">
      <text>
        <t xml:space="preserve"> excluding cell fees</t>
      </text>
    </comment>
    <comment authorId="0" ref="H23">
      <text>
        <t xml:space="preserve">excellent smartwatch, but mediocre alarm system</t>
      </text>
    </comment>
    <comment authorId="0" ref="Q27">
      <text>
        <t xml:space="preserve">https://www.amazon.co.uk/Assure-wristband-personal-triggering-neighbours-Grey-orange-inner/dp/B01C7K5NHA</t>
      </text>
    </comment>
    <comment authorId="0" ref="S27">
      <text>
        <t xml:space="preserve">https://www.acticheck.com/fall-detection</t>
      </text>
    </comment>
    <comment authorId="0" ref="Q23">
      <text>
        <t xml:space="preserve">https://www.amazon.com/Apple-Watch-GPS-Cellular-38mm-Aluminium/dp/B07K3BY22F/</t>
      </text>
    </comment>
    <comment authorId="0" ref="R23">
      <text>
        <t xml:space="preserve">the year than the build-in LTE-connectivity was introduced</t>
      </text>
    </comment>
    <comment authorId="0" ref="S23">
      <text>
        <t xml:space="preserve">https://www.youtube.com/watch?v=WUEon3Kpyw0</t>
      </text>
    </comment>
    <comment authorId="0" ref="X27">
      <text>
        <t xml:space="preserve">https://www.acticheck.com/professional/</t>
      </text>
    </comment>
    <comment authorId="0" ref="R15">
      <text>
        <t xml:space="preserve">first mentions of the device</t>
      </text>
    </comment>
    <comment authorId="0" ref="Z23">
      <text>
        <t xml:space="preserve">https://support.apple.com/en-us/HT204641</t>
      </text>
    </comment>
    <comment authorId="0" ref="AF27">
      <text>
        <t xml:space="preserve">https://www.acticheck.com/frequently-asked-questions/</t>
      </text>
    </comment>
    <comment authorId="0" ref="Q11">
      <text>
        <t xml:space="preserve">https://www.consumeraffairs.com/medical-alert-systems/bluestar-honorcare.html</t>
      </text>
    </comment>
    <comment authorId="0" ref="AF23">
      <text>
        <t xml:space="preserve">note that if GPS and LTE are enabled, it's only 4 hours or less. Source:
https://www.apple.com/watch/battery.html</t>
      </text>
    </comment>
    <comment authorId="0" ref="Q7">
      <text>
        <t xml:space="preserve">https://www.consumeraffairs.com/medical-alert-systems/mobilehelp.html</t>
      </text>
    </comment>
    <comment authorId="0" ref="AG23">
      <text>
        <t xml:space="preserve">source: https://support.apple.com/kb/SP766?locale=de_DE&amp;viewlocale=en_US</t>
      </text>
    </comment>
    <comment authorId="0" ref="AP27">
      <text>
        <t xml:space="preserve">https://www.acticheck.com/core-alerts-detailed/</t>
      </text>
    </comment>
    <comment authorId="0" ref="X7">
      <text>
        <t xml:space="preserve">https://www.mobilehelp.com/pages/healthcare-division</t>
      </text>
    </comment>
    <comment authorId="0" ref="Q32">
      <text>
        <t xml:space="preserve">https://play.google.com/store/apps/details?id=com.silentbeaconapp&amp;hl=en</t>
      </text>
    </comment>
    <comment authorId="0" ref="Y7">
      <text>
        <t xml:space="preserve">https://www.mobilehelp.com/pages/healthcare-division</t>
      </text>
    </comment>
    <comment authorId="0" ref="AH11">
      <text>
        <t xml:space="preserve">https://bluestarseniortech.com/bellpal-learn-more/</t>
      </text>
    </comment>
    <comment authorId="0" ref="X32">
      <text>
        <t xml:space="preserve">https://silentbeacon.com/staff-panic-button-workplace-safety-apps/</t>
      </text>
    </comment>
    <comment authorId="0" ref="AJ11">
      <text>
        <t xml:space="preserve">https://bluestarseniortech.com/bellpal-learn-more/</t>
      </text>
    </comment>
    <comment authorId="0" ref="Q24">
      <text>
        <t xml:space="preserve">https://www.forbes.com/sites/arieladams/2015/07/06/fcc-red-tape-life-saving-breitling-emergency-ii-watch-arrives-us/#1c4141893b78</t>
      </text>
    </comment>
    <comment authorId="0" ref="AL11">
      <text>
        <t xml:space="preserve">https://bluestarseniortech.com/shop/connection-products-bluestar-seniortech-connection-technology/checkup-call-health-status-updates/</t>
      </text>
    </comment>
    <comment authorId="0" ref="AP11">
      <text>
        <t xml:space="preserve">https://bluestarseniortech.com/shop/connection-products-bluestar-seniortech-connection-technology/checkup-call-health-status-updates/</t>
      </text>
    </comment>
    <comment authorId="0" ref="AF32">
      <text>
        <t xml:space="preserve">http://silentbeacon.com/wp-content/uploads/2018/09/SBL%20Manual%209-14-18.pdf</t>
      </text>
    </comment>
    <comment authorId="0" ref="AN7">
      <text>
        <t xml:space="preserve">https://www.mobilehelp.com/pages/smart-features
Samsung Health gives you the option of scheduling custom Inactivity Alerts that remind you to stay active after periods of inactivity</t>
      </text>
    </comment>
    <comment authorId="0" ref="AO7">
      <text>
        <t xml:space="preserve">type here
You can have it monitor your heart rate continuously, every ten minutes, or only when you tap the Measure button
https://www.pcmag.com/review/364322/mobilehelp-smart</t>
      </text>
    </comment>
    <comment authorId="0" ref="D33">
      <text>
        <t xml:space="preserve">source: https://www.turnermedical.com/NONIN_3150SK_USB_WRISTOX2_WRIST_PULSE_OXIMETER_p/nonin_3150sk.htm</t>
      </text>
    </comment>
    <comment authorId="0" ref="Q12">
      <text>
        <t xml:space="preserve">https://www.consumeraffairs.com/medical-alert-systems/lifefone.html</t>
      </text>
    </comment>
    <comment authorId="0" ref="AU7">
      <text>
        <t xml:space="preserve">Judging by the fact that they offer "30 Extra Pings per month for Location Detection"
https://www.mobilehelp.com/cart</t>
      </text>
    </comment>
    <comment authorId="0" ref="AY11">
      <text>
        <t xml:space="preserve">https://bluestarseniortech.com/shop/health-products/healthguard-senior-safety-health-system/</t>
      </text>
    </comment>
    <comment authorId="0" ref="W12">
      <text>
        <t xml:space="preserve">https://www.lifefone.com/faq.html</t>
      </text>
    </comment>
    <comment authorId="0" ref="X12">
      <text>
        <t xml:space="preserve">https://www.lifefone.com/partners.html</t>
      </text>
    </comment>
    <comment authorId="0" ref="Q37">
      <text>
        <t xml:space="preserve">https://medalerthelp.org/rescue-alert-reviews/</t>
      </text>
    </comment>
    <comment authorId="0" ref="AG16">
      <text>
        <t xml:space="preserve">source: https://medalerthelp.org/philips-lifeline-gosafe-2-review/</t>
      </text>
    </comment>
    <comment authorId="0" ref="AF12">
      <text>
        <t xml:space="preserve">source: https://www.lifefone.com/order-now</t>
      </text>
    </comment>
    <comment authorId="0" ref="Q25">
      <text>
        <t xml:space="preserve">https://play.google.com/store/apps/details?id=com.nimb.app&amp;hl=en</t>
      </text>
    </comment>
    <comment authorId="0" ref="AL12">
      <text>
        <t xml:space="preserve">https://bluestarseniortech.com/shop/connection-products-bluestar-seniortech-connection-technology/checkup-call-health-status-updates/</t>
      </text>
    </comment>
    <comment authorId="0" ref="Q21">
      <text>
        <t xml:space="preserve">https://play.google.com/store/apps/details?id=com.llresponse.lifeline</t>
      </text>
    </comment>
  </commentList>
</comments>
</file>

<file path=xl/sharedStrings.xml><?xml version="1.0" encoding="utf-8"?>
<sst xmlns="http://schemas.openxmlformats.org/spreadsheetml/2006/main" count="1037" uniqueCount="269">
  <si>
    <t xml:space="preserve">The purpose of this table is to identify the best wearable for adoption by cryonics service providers. </t>
  </si>
  <si>
    <t xml:space="preserve">The table contains only the wearables that are already available for purchase. </t>
  </si>
  <si>
    <t>cost, $</t>
  </si>
  <si>
    <t>summary of the rest of the table (estimates from incomplete data)</t>
  </si>
  <si>
    <t>quality metrics</t>
  </si>
  <si>
    <t>handling of false positives / negatives</t>
  </si>
  <si>
    <t>ease of integration into CSO's operations</t>
  </si>
  <si>
    <t>the end-user can wear the device 24/7</t>
  </si>
  <si>
    <t>even an elderly end-user will rarely forget to wear it</t>
  </si>
  <si>
    <t>the system can automatically and speedily detect deanimation</t>
  </si>
  <si>
    <t>geolocation functionality</t>
  </si>
  <si>
    <t>additional features</t>
  </si>
  <si>
    <t>Name</t>
  </si>
  <si>
    <t>link</t>
  </si>
  <si>
    <t>type</t>
  </si>
  <si>
    <t>one-time fee, per end-user</t>
  </si>
  <si>
    <t>monthly fee, per end-user</t>
  </si>
  <si>
    <t>sum of regular fees for 10 years + the one-time fee</t>
  </si>
  <si>
    <t>alarm dispatch fee, per dispatch</t>
  </si>
  <si>
    <t>quality</t>
  </si>
  <si>
    <t>the system has been tested by a reputable cryonicist (quality assessment, tester's name)</t>
  </si>
  <si>
    <t xml:space="preserve">independent quality ratings (Consumer Affairs, Play Store etc) </t>
  </si>
  <si>
    <t>the system in operation since (year):</t>
  </si>
  <si>
    <t>there are consumer- accesible settings to reduce false alarm rates</t>
  </si>
  <si>
    <t>Voice-2-voice communication between the end-user and the 24/7 monitoring team is possible</t>
  </si>
  <si>
    <t>a SOS button to manually trigger an alarm</t>
  </si>
  <si>
    <t>observed false positives rate, per day (i.e. "the watchdog is barking on harmless stuff")</t>
  </si>
  <si>
    <t>observed false negatives rate, per day (i.e. "the watchdog is half-deaf")</t>
  </si>
  <si>
    <t>the system provider offers a b2b integration (e.g. they install first-responder terminals, provide tech support etc)</t>
  </si>
  <si>
    <t>there are APIs or other means to integrate it into a first-responder terminal at a CSO</t>
  </si>
  <si>
    <t>there are automatic firmware updates (no end-user interaction required for it)</t>
  </si>
  <si>
    <t>the system includes a 24/7 professional alarm dispatch connectivity</t>
  </si>
  <si>
    <t>built-in cellular connection: the end-user don't need to couple the device with a phone etc</t>
  </si>
  <si>
    <t>the alarm system works in the US</t>
  </si>
  <si>
    <t>... in the EU</t>
  </si>
  <si>
    <t>... in Russia</t>
  </si>
  <si>
    <t>battery life, days</t>
  </si>
  <si>
    <t>size of the wearable, cm</t>
  </si>
  <si>
    <t>suitable for wearing in bed during sleep</t>
  </si>
  <si>
    <t>shower safe (the end-user can take a shower with it)</t>
  </si>
  <si>
    <t>looks good enough to wear it in public (discreet and/or looks like a luxury item)</t>
  </si>
  <si>
    <t>The "coolness" factor could facilitate adoption/usage among users</t>
  </si>
  <si>
    <t>The device is activelly encoraging the end-user to wear it (e.g. signaling if no movement is detected)</t>
  </si>
  <si>
    <t>Man Down functionality (e.g. fall detection)</t>
  </si>
  <si>
    <t>Non-Motion Alarming (detects the absence of micro-movements)</t>
  </si>
  <si>
    <t>Heart Rate Alarming (e.g. heart rate is too slow etc)</t>
  </si>
  <si>
    <t>optional check-in every X minutes</t>
  </si>
  <si>
    <t>number of data exchanges between the device and the server per hour</t>
  </si>
  <si>
    <t>stationary signal amplifier (e.g. for the case of a weak cellular signal in some rooms)</t>
  </si>
  <si>
    <t>built-in geolocation tracker (e.g. GPS)</t>
  </si>
  <si>
    <t>multiple geolocation technologies (e.g. + WiFi, digital breadcrumbs etc)</t>
  </si>
  <si>
    <t>number of geolocation readings per hour</t>
  </si>
  <si>
    <t>Build-in audio-beacon to help the rescuiers locate the end-user (in a big building etc)</t>
  </si>
  <si>
    <t>the system includes a peer-to-peer help network</t>
  </si>
  <si>
    <t>worldwide satellite communication</t>
  </si>
  <si>
    <t>optional integration with a medical analytics system</t>
  </si>
  <si>
    <t>date last reviewed</t>
  </si>
  <si>
    <t>comments</t>
  </si>
  <si>
    <t>The best systems we were able to find:</t>
  </si>
  <si>
    <t>Blackline G7c - Standard</t>
  </si>
  <si>
    <t>https://www.blacklinesafety.com/standard-cartridge</t>
  </si>
  <si>
    <t>lone worker monitoring</t>
  </si>
  <si>
    <t>excellent</t>
  </si>
  <si>
    <t>good</t>
  </si>
  <si>
    <t>medium</t>
  </si>
  <si>
    <t>NL/Jappie Hoekstra</t>
  </si>
  <si>
    <t>no data yet</t>
  </si>
  <si>
    <t>yes</t>
  </si>
  <si>
    <t>&lt;= 1</t>
  </si>
  <si>
    <t>12.4 x 6.4 x 2.7</t>
  </si>
  <si>
    <t>no</t>
  </si>
  <si>
    <t>yes, somewhat bulky though</t>
  </si>
  <si>
    <t>15 - 180</t>
  </si>
  <si>
    <t>12 + on-dem.</t>
  </si>
  <si>
    <t>Use G7x instead</t>
  </si>
  <si>
    <t>Device is meant to be purchased/managed by organizations, in a batch, not to be purchased by individual consumers</t>
  </si>
  <si>
    <t>MobileHelp Duo (with Fall Detect Pendant, MobileHelp Smart + Connect premium)</t>
  </si>
  <si>
    <t>https://www.mobilehelp.com/</t>
  </si>
  <si>
    <t>alarm system for elderly</t>
  </si>
  <si>
    <t>4.7 from 5. Also a FDA registered Medical Device Manufacturer</t>
  </si>
  <si>
    <t>2 (for their watch)</t>
  </si>
  <si>
    <t>yes (for their watch)</t>
  </si>
  <si>
    <t>The Neck Pendant, Wrist Button and Fall Button™ are all waterproof. They are designed to be worn at all times including in the shower and bath. They are not designed to be submerged or exposed to water for a prolonged period of time. The Mobile Device, Cellular Base Station and Wall Button are not waterproof. Wearing the watch it in the shower is not recommended</t>
  </si>
  <si>
    <t>their smartwatch is somewhat cool</t>
  </si>
  <si>
    <t>yes (if MobileHelp Smart is added)</t>
  </si>
  <si>
    <t>&gt; 0.04</t>
  </si>
  <si>
    <t>Likely less useful, but worth checking too:</t>
  </si>
  <si>
    <t>BlueStar Admiral Alert (with Fall detection and Checkup Call)</t>
  </si>
  <si>
    <t>https://bluestarseniortech.com/shop-health/</t>
  </si>
  <si>
    <t>not yet</t>
  </si>
  <si>
    <t>4.6 from 5</t>
  </si>
  <si>
    <t>2-180 (180 if/then they start to sell their Bellpal watch )</t>
  </si>
  <si>
    <t xml:space="preserve">yes, if/then they start to sell their Bellpal watch </t>
  </si>
  <si>
    <t>no. The device has a strong association with frail elderly</t>
  </si>
  <si>
    <t>to some extend, could be achieved by the daily check-in calls</t>
  </si>
  <si>
    <t>yes, daily</t>
  </si>
  <si>
    <t>LifeFone At-Home &amp; On-the-Go GPS, Voice-In-Necklace (with the following options: LifeFone Protection, Daily Check-in)</t>
  </si>
  <si>
    <t>https://www.lifefone.com/</t>
  </si>
  <si>
    <t>4.5 from 5</t>
  </si>
  <si>
    <t>~95% of falls will be detected</t>
  </si>
  <si>
    <t>the provider recommends to wear it at night. Although it's likely uncomfortable</t>
  </si>
  <si>
    <t>Philips GoSafe Cellular</t>
  </si>
  <si>
    <t>https://www.lifeline.philips.com/medical-alert-systems/gosafe.html</t>
  </si>
  <si>
    <t>bad</t>
  </si>
  <si>
    <t>4,5 from 5</t>
  </si>
  <si>
    <t>7.6 x 3.3 x 1.5</t>
  </si>
  <si>
    <t>yes: WiFi, digital breadcrumbs</t>
  </si>
  <si>
    <t>Active Guardian by Medical Guardian (with fall detection and device protection options)</t>
  </si>
  <si>
    <t>https://www.medicalguardian.com/products/active-guardian</t>
  </si>
  <si>
    <t>4.4 from 5</t>
  </si>
  <si>
    <t>&lt;5</t>
  </si>
  <si>
    <t>8.0 x 4.0 x 2.0 (approx.)</t>
  </si>
  <si>
    <t>yes, wii-fi</t>
  </si>
  <si>
    <t>MicroSOS</t>
  </si>
  <si>
    <t>https://peoplesafe.co.uk/microsos_personal_alarm/</t>
  </si>
  <si>
    <t>Certified according to the British Standard for suppliers of device/app based Lone Worker services (BS 8484:2016)</t>
  </si>
  <si>
    <t>5 x 2 x 1.5 (approx.)</t>
  </si>
  <si>
    <t>somewhat cool</t>
  </si>
  <si>
    <t>A-GPS</t>
  </si>
  <si>
    <t>Blackline Loner DUO</t>
  </si>
  <si>
    <t>https://www.blacklinesafety.com/loner-mobile-with-loner-duo</t>
  </si>
  <si>
    <t>yes, per paired smartphone where the app is installed</t>
  </si>
  <si>
    <t>no. Phone required</t>
  </si>
  <si>
    <t>6.2 x 5.1 x 3.2</t>
  </si>
  <si>
    <t>only as an SOS button; requires No-Motion Detection to be disabled because this function will wake up the wearer</t>
  </si>
  <si>
    <t>neutral, clearly visible as being an alarm system</t>
  </si>
  <si>
    <t>1 - 240</t>
  </si>
  <si>
    <t>configurable: 1 per minute or more</t>
  </si>
  <si>
    <t>installed on a phone with a geolocation functionality</t>
  </si>
  <si>
    <t>relies on the phone</t>
  </si>
  <si>
    <t>Twig Embody</t>
  </si>
  <si>
    <t>https://www.twigcom.com/shop/category/personal-alarms-2</t>
  </si>
  <si>
    <t>through 3rd-party resellers of the device</t>
  </si>
  <si>
    <t>4 days (1 GPS report / hr), 2 days (1 GPS report / 10 min), 15 hours (1 GPS report / min), 4 hours (1 GPS report / 5 sec), Up to 14 days (GSM standby only)</t>
  </si>
  <si>
    <t>6.1 x 4.6 x 1.9</t>
  </si>
  <si>
    <t>four independent alert triggers: device orientation and non-movement, free fall and impact</t>
  </si>
  <si>
    <t>configurable: 1 per hr, 1 per 10 min, 1 per min,  1 per 5 sec</t>
  </si>
  <si>
    <t>GPS, Glonass, Galileo and BeiDou</t>
  </si>
  <si>
    <t>Too limited to use it as the main alarm system for a CSO, but could be useful as an auxiliary tool:</t>
  </si>
  <si>
    <t>LifeLine Response app</t>
  </si>
  <si>
    <t>http://llresponse.com/</t>
  </si>
  <si>
    <t>panic button app</t>
  </si>
  <si>
    <t>not applicable</t>
  </si>
  <si>
    <t>yes, per same phone where the app is installed</t>
  </si>
  <si>
    <t>yes. Claims to provide full end to end security solutions &amp; Risk Management support</t>
  </si>
  <si>
    <t>per build-in Store functionality</t>
  </si>
  <si>
    <t>same as the phone</t>
  </si>
  <si>
    <t>no device</t>
  </si>
  <si>
    <t>selected user contacts</t>
  </si>
  <si>
    <t xml:space="preserve"> </t>
  </si>
  <si>
    <t>MiniFinder Pico</t>
  </si>
  <si>
    <t>https://shop.minifinder.com/en/minifinder-pico-en</t>
  </si>
  <si>
    <t>panic button</t>
  </si>
  <si>
    <t>&lt;7</t>
  </si>
  <si>
    <t>6 × 4.1 × 1.6</t>
  </si>
  <si>
    <t>could be too big</t>
  </si>
  <si>
    <t>10 sec (optional), otherwise on triggers</t>
  </si>
  <si>
    <t>Apple Watch Series 3 GPS + Cellular</t>
  </si>
  <si>
    <t>https://support.apple.com/kb/SP766?locale=de_DE&amp;viewlocale=en_US</t>
  </si>
  <si>
    <t>consumer smartwatch</t>
  </si>
  <si>
    <t>calls 911. In some jurisdictions false calls may be fined</t>
  </si>
  <si>
    <t>Alarm signal transmission is too unreliable - got an MMS only several hours later after triggering the alarm (DE/Roman Sitelew)</t>
  </si>
  <si>
    <t>see this research for cardio details: https://www.businesswire.com/news/home/20190316005006/en/Apple-Heart-Study-Demonstrates-Ability-Wearable-Technology/</t>
  </si>
  <si>
    <t>technically possible to remotelly access the data, but no turnkey solutions</t>
  </si>
  <si>
    <t>direct alarms to 911</t>
  </si>
  <si>
    <t>yes, for the cellular model</t>
  </si>
  <si>
    <t>3.9 x 3.3 x 1.1</t>
  </si>
  <si>
    <t>Yes. Has a reputation of a luxury item</t>
  </si>
  <si>
    <t>use Series 4 instead</t>
  </si>
  <si>
    <t>yes, but in some countries - disabled (e.g. Germany)</t>
  </si>
  <si>
    <t>could be done with 3d-party apps</t>
  </si>
  <si>
    <t>does not trasmit health data if the screen is off</t>
  </si>
  <si>
    <t>additional sattelite systems: GLONASS, Galileo, and QZSS</t>
  </si>
  <si>
    <t>on-demand +a few times per minute in the Exercise mode</t>
  </si>
  <si>
    <t>Breitling Emergency</t>
  </si>
  <si>
    <t>https://www.breitling.com/us-en/watches/professional/emergency/E7632522-BC02-159E/</t>
  </si>
  <si>
    <t>specialized classic watch</t>
  </si>
  <si>
    <t>false calls are punished with massive fines</t>
  </si>
  <si>
    <t>FCC approved as an emergency beacon</t>
  </si>
  <si>
    <t>not needed - no compute</t>
  </si>
  <si>
    <t>direct alarms resquiers</t>
  </si>
  <si>
    <t>worldwide satellite coverage</t>
  </si>
  <si>
    <t>years</t>
  </si>
  <si>
    <t>5.1 x 5.1 x 2.2</t>
  </si>
  <si>
    <t>Yes. A very expensive luxury item with the unique feature of the worldwide satellite alarm</t>
  </si>
  <si>
    <t>on-dem. only</t>
  </si>
  <si>
    <t>Nimb</t>
  </si>
  <si>
    <t>https://nimb.com/</t>
  </si>
  <si>
    <t>panic button + dispatchers</t>
  </si>
  <si>
    <t>3.8 from 5</t>
  </si>
  <si>
    <t>2.5 x 2.5 x 2.5 (approx.)</t>
  </si>
  <si>
    <t>Yes. An advanced smart luxury ring</t>
  </si>
  <si>
    <t>relies on a thetered phone</t>
  </si>
  <si>
    <t>bayalarmmedical 4G LTE GPS Help Button</t>
  </si>
  <si>
    <t>https://www.bayalarmmedical.com/medical-alert-system/systems-with-gps/</t>
  </si>
  <si>
    <t>&lt;3 days</t>
  </si>
  <si>
    <t>6 x 4 x 1.5 (ca.)</t>
  </si>
  <si>
    <t>no. Likely too bulky</t>
  </si>
  <si>
    <t>optionally</t>
  </si>
  <si>
    <t>Assure (options selected: Cellular enabled, Fallback monitoring)</t>
  </si>
  <si>
    <t>https://www.acticheck.com/</t>
  </si>
  <si>
    <t>4.7 from 5</t>
  </si>
  <si>
    <t>yes, a dashboard</t>
  </si>
  <si>
    <t>yes, optional</t>
  </si>
  <si>
    <t>UK only</t>
  </si>
  <si>
    <t>1 year</t>
  </si>
  <si>
    <t>2.4 x 1.5 x 1.0 (without the band)</t>
  </si>
  <si>
    <t>works only in the 200m range from the stationary base, OR anywhere if coupled with a smartphone</t>
  </si>
  <si>
    <t>Not recommended:</t>
  </si>
  <si>
    <t>No 24/7 alarm dispatch:</t>
  </si>
  <si>
    <t>Silent Beacon</t>
  </si>
  <si>
    <t>https://silentbeacon.com/</t>
  </si>
  <si>
    <t>technically possible to build such system, but no turnkey solutions</t>
  </si>
  <si>
    <t>4.0 x 4.0 x 0.8</t>
  </si>
  <si>
    <t>there is a "Live Tracking" mode that is kinda is the same thing, but not quite</t>
  </si>
  <si>
    <t>Nonin WristOx2 3150 OEM</t>
  </si>
  <si>
    <t>https://www.nonin.com/products/3150-oem-ble/</t>
  </si>
  <si>
    <t>certified medical device</t>
  </si>
  <si>
    <t>with the finger clip - very unconfortable to wear daily, almost impossble to sleep. Without it - ok (DE: Roman Sitelew)</t>
  </si>
  <si>
    <t>likely ok - a cerified medical device for clinics</t>
  </si>
  <si>
    <t>5.6 x 7.4 x 2.0</t>
  </si>
  <si>
    <t>yes, if the finger clip is not used</t>
  </si>
  <si>
    <t>technically possible to build. With a medical grade quality, but no turnkey solutions</t>
  </si>
  <si>
    <t>depends on the custom implementation</t>
  </si>
  <si>
    <t>clinical-quality Ox2 and pulsometry recordings</t>
  </si>
  <si>
    <t>Medset Telesmart</t>
  </si>
  <si>
    <t>https://www.medset.com/en/products/holter-ecg/telesmart/</t>
  </si>
  <si>
    <t>Very unconfortable to wear daily. Almost impossble to sleep (DE: Roman Sitelew)</t>
  </si>
  <si>
    <t>no real-time alarm, only recording</t>
  </si>
  <si>
    <t>12.2 x 6.5 x 2.0</t>
  </si>
  <si>
    <t>no, very uncomfortable</t>
  </si>
  <si>
    <t>medical grade, but only recording, no alarm</t>
  </si>
  <si>
    <t>clinical-quality ECG recordings</t>
  </si>
  <si>
    <t>No man-down functionality</t>
  </si>
  <si>
    <t>Rescue Alert GPS + MXD unit</t>
  </si>
  <si>
    <t>https://www.rescuealert.com/product/mobilePERS</t>
  </si>
  <si>
    <t>4 from 5</t>
  </si>
  <si>
    <t>Soloprotect</t>
  </si>
  <si>
    <t>https://www.soloprotect.com/uk/lone-worker-solutions/</t>
  </si>
  <si>
    <t>the system</t>
  </si>
  <si>
    <t>costs, $</t>
  </si>
  <si>
    <t>the patient can wear the device 24/7</t>
  </si>
  <si>
    <t>ADD: Samsung Watch</t>
  </si>
  <si>
    <t>Detects fall. Soon will detect heart rhythm</t>
  </si>
  <si>
    <t>Systems that could be worth adding to the table:</t>
  </si>
  <si>
    <t>The Mini Holter Recorder</t>
  </si>
  <si>
    <t>https://www.medset.com/en/products/holter-ecg/mini-holter-recorder/</t>
  </si>
  <si>
    <t>https://www.fallsafetyapp.com/loneworker-pro</t>
  </si>
  <si>
    <t>https://www.gofleet.com/product/man-down-system-lone-worker-safety</t>
  </si>
  <si>
    <t>https://www.loneworkersolutions.com/apps-devices</t>
  </si>
  <si>
    <t>https://eviewgps.manufacturer.globalsources.com/si/6008853321910/pdtl/GPS-personal/1161960748/Lone-worker-Safety-Device.htm</t>
  </si>
  <si>
    <t>https://zonith.com/products/staff-safety/</t>
  </si>
  <si>
    <t>https://graceloneworker.com/</t>
  </si>
  <si>
    <t>http://www.cdnsafety.com/grace.htm</t>
  </si>
  <si>
    <t>https://guardian24.co.uk/spot-gen3-satellite-device/</t>
  </si>
  <si>
    <t>https://www.checkedsafe.com/loneworker/</t>
  </si>
  <si>
    <t>https://www.gdsystems.com/lone-worker-protection/</t>
  </si>
  <si>
    <t>https://www.corpsmonitoring.co.uk/security-monitoring-services/lone-working-devices/</t>
  </si>
  <si>
    <t>https://www.aegissales.com.au/remote-worker/loner-safety-glossary</t>
  </si>
  <si>
    <t>https://www.twigcom.com/page/mandown-alert</t>
  </si>
  <si>
    <t>https://www.gasdetectors.co.nz/lone-worker-man-down-alarm/</t>
  </si>
  <si>
    <t>https://www.directsafetygroup.com/lone-worker-devices</t>
  </si>
  <si>
    <t>https://www.scatterling.co/</t>
  </si>
  <si>
    <t>https://www.castlegroup.co.uk/products/lone-worker-devices</t>
  </si>
  <si>
    <t>https://www.relianceprotect.co.uk/devices.php</t>
  </si>
  <si>
    <t>https://www.anttelecom.co.uk/products-and-solutions/products/smart-apps-devices</t>
  </si>
  <si>
    <t>https://www.islesystems.com/lone-worker-personal-alarms</t>
  </si>
  <si>
    <t>https://blackridgesolutions.com/lone-worker-safety.html</t>
  </si>
  <si>
    <t xml:space="preserve">https://uk.pcmag.com/medical-alert-systems/92216/greatcall-lively-mobile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</si>
</sst>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</font>
    <font/>
    <font>
      <b/>
    </font>
    <font>
      <color rgb="FFFFFFFF"/>
    </font>
    <font>
      <u/>
      <color rgb="FF0000FF"/>
    </font>
    <font>
      <u/>
      <color rgb="FF0000FF"/>
    </font>
    <font>
      <name val="Arial"/>
    </font>
    <font>
      <color rgb="FF000000"/>
      <name val="Arial"/>
    </font>
    <font>
      <color rgb="FFFFFFFF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45818E"/>
        <bgColor rgb="FF45818E"/>
      </patternFill>
    </fill>
    <fill>
      <patternFill patternType="solid">
        <fgColor rgb="FF6AA84F"/>
        <bgColor rgb="FF6AA84F"/>
      </patternFill>
    </fill>
    <fill>
      <patternFill patternType="solid">
        <fgColor rgb="FFFFF18F"/>
        <bgColor rgb="FFFFF18F"/>
      </patternFill>
    </fill>
    <fill>
      <patternFill patternType="solid">
        <fgColor rgb="FFD9D9D9"/>
        <bgColor rgb="FFD9D9D9"/>
      </patternFill>
    </fill>
    <fill>
      <patternFill patternType="solid">
        <fgColor rgb="FFE69138"/>
        <bgColor rgb="FFE69138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</fills>
  <borders count="11">
    <border/>
    <border>
      <right style="thin">
        <color rgb="FF000000"/>
      </right>
    </border>
    <border>
      <left style="thin">
        <color rgb="FF000000"/>
      </lef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shrinkToFit="0" wrapText="1"/>
    </xf>
    <xf borderId="1" fillId="0" fontId="1" numFmtId="0" xfId="0" applyBorder="1" applyFont="1"/>
    <xf borderId="2" fillId="0" fontId="2" numFmtId="0" xfId="0" applyAlignment="1" applyBorder="1" applyFont="1">
      <alignment horizontal="center" readingOrder="0" shrinkToFit="0" wrapText="1"/>
    </xf>
    <xf borderId="2" fillId="2" fontId="2" numFmtId="0" xfId="0" applyAlignment="1" applyBorder="1" applyFill="1" applyFont="1">
      <alignment horizontal="center" readingOrder="0" shrinkToFit="0" wrapText="1"/>
    </xf>
    <xf borderId="0" fillId="2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/>
    </xf>
    <xf borderId="3" fillId="0" fontId="1" numFmtId="0" xfId="0" applyAlignment="1" applyBorder="1" applyFont="1">
      <alignment readingOrder="0" shrinkToFit="0" wrapText="1"/>
    </xf>
    <xf borderId="4" fillId="0" fontId="1" numFmtId="0" xfId="0" applyAlignment="1" applyBorder="1" applyFont="1">
      <alignment readingOrder="0" shrinkToFit="0" wrapText="1"/>
    </xf>
    <xf borderId="2" fillId="0" fontId="1" numFmtId="0" xfId="0" applyAlignment="1" applyBorder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2" fillId="2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readingOrder="0" shrinkToFit="0" wrapText="1"/>
    </xf>
    <xf borderId="0" fillId="2" fontId="1" numFmtId="0" xfId="0" applyAlignment="1" applyFont="1">
      <alignment readingOrder="0"/>
    </xf>
    <xf borderId="5" fillId="0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5" fillId="0" fontId="1" numFmtId="2" xfId="0" applyAlignment="1" applyBorder="1" applyFont="1" applyNumberFormat="1">
      <alignment readingOrder="0"/>
    </xf>
    <xf borderId="5" fillId="0" fontId="1" numFmtId="0" xfId="0" applyBorder="1" applyFont="1"/>
    <xf borderId="5" fillId="2" fontId="1" numFmtId="0" xfId="0" applyBorder="1" applyFont="1"/>
    <xf borderId="0" fillId="2" fontId="3" numFmtId="0" xfId="0" applyAlignment="1" applyFont="1">
      <alignment readingOrder="0"/>
    </xf>
    <xf borderId="1" fillId="2" fontId="3" numFmtId="0" xfId="0" applyAlignment="1" applyBorder="1" applyFont="1">
      <alignment readingOrder="0"/>
    </xf>
    <xf borderId="2" fillId="2" fontId="3" numFmtId="0" xfId="0" applyAlignment="1" applyBorder="1" applyFont="1">
      <alignment readingOrder="0"/>
    </xf>
    <xf borderId="0" fillId="2" fontId="3" numFmtId="2" xfId="0" applyAlignment="1" applyFont="1" applyNumberFormat="1">
      <alignment readingOrder="0"/>
    </xf>
    <xf borderId="0" fillId="2" fontId="3" numFmtId="0" xfId="0" applyFont="1"/>
    <xf borderId="2" fillId="2" fontId="3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0" fillId="0" fontId="1" numFmtId="2" xfId="0" applyAlignment="1" applyFont="1" applyNumberFormat="1">
      <alignment readingOrder="0"/>
    </xf>
    <xf borderId="0" fillId="2" fontId="1" numFmtId="0" xfId="0" applyFont="1"/>
    <xf borderId="0" fillId="0" fontId="4" numFmtId="0" xfId="0" applyAlignment="1" applyFont="1">
      <alignment readingOrder="0"/>
    </xf>
    <xf borderId="2" fillId="0" fontId="1" numFmtId="1" xfId="0" applyAlignment="1" applyBorder="1" applyFont="1" applyNumberFormat="1">
      <alignment readingOrder="0"/>
    </xf>
    <xf borderId="0" fillId="0" fontId="1" numFmtId="1" xfId="0" applyAlignment="1" applyFont="1" applyNumberFormat="1">
      <alignment readingOrder="0"/>
    </xf>
    <xf borderId="0" fillId="0" fontId="1" numFmtId="1" xfId="0" applyFont="1" applyNumberFormat="1"/>
    <xf borderId="2" fillId="3" fontId="1" numFmtId="0" xfId="0" applyAlignment="1" applyBorder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2" fillId="2" fontId="1" numFmtId="0" xfId="0" applyAlignment="1" applyBorder="1" applyFont="1">
      <alignment readingOrder="0"/>
    </xf>
    <xf borderId="2" fillId="6" fontId="1" numFmtId="0" xfId="0" applyAlignment="1" applyBorder="1" applyFill="1" applyFont="1">
      <alignment readingOrder="0"/>
    </xf>
    <xf borderId="0" fillId="6" fontId="1" numFmtId="0" xfId="0" applyAlignment="1" applyFont="1">
      <alignment readingOrder="0"/>
    </xf>
    <xf borderId="2" fillId="4" fontId="1" numFmtId="0" xfId="0" applyAlignment="1" applyBorder="1" applyFont="1">
      <alignment readingOrder="0"/>
    </xf>
    <xf borderId="1" fillId="6" fontId="1" numFmtId="0" xfId="0" applyAlignment="1" applyBorder="1" applyFont="1">
      <alignment readingOrder="0"/>
    </xf>
    <xf borderId="2" fillId="7" fontId="1" numFmtId="0" xfId="0" applyAlignment="1" applyBorder="1" applyFill="1" applyFont="1">
      <alignment readingOrder="0"/>
    </xf>
    <xf borderId="0" fillId="7" fontId="1" numFmtId="0" xfId="0" applyAlignment="1" applyFont="1">
      <alignment readingOrder="0"/>
    </xf>
    <xf borderId="0" fillId="8" fontId="1" numFmtId="0" xfId="0" applyAlignment="1" applyFill="1" applyFont="1">
      <alignment readingOrder="0"/>
    </xf>
    <xf borderId="2" fillId="9" fontId="1" numFmtId="0" xfId="0" applyAlignment="1" applyBorder="1" applyFill="1" applyFont="1">
      <alignment readingOrder="0"/>
    </xf>
    <xf borderId="1" fillId="4" fontId="1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2" fillId="2" fontId="1" numFmtId="0" xfId="0" applyBorder="1" applyFont="1"/>
    <xf borderId="2" fillId="8" fontId="1" numFmtId="0" xfId="0" applyAlignment="1" applyBorder="1" applyFont="1">
      <alignment readingOrder="0"/>
    </xf>
    <xf borderId="2" fillId="5" fontId="1" numFmtId="0" xfId="0" applyAlignment="1" applyBorder="1" applyFont="1">
      <alignment readingOrder="0"/>
    </xf>
    <xf borderId="0" fillId="6" fontId="1" numFmtId="0" xfId="0" applyAlignment="1" applyFont="1">
      <alignment horizontal="right" readingOrder="0"/>
    </xf>
    <xf borderId="1" fillId="2" fontId="1" numFmtId="0" xfId="0" applyAlignment="1" applyBorder="1" applyFont="1">
      <alignment readingOrder="0"/>
    </xf>
    <xf borderId="2" fillId="2" fontId="1" numFmtId="1" xfId="0" applyAlignment="1" applyBorder="1" applyFont="1" applyNumberFormat="1">
      <alignment readingOrder="0"/>
    </xf>
    <xf borderId="0" fillId="2" fontId="1" numFmtId="1" xfId="0" applyAlignment="1" applyFont="1" applyNumberFormat="1">
      <alignment readingOrder="0"/>
    </xf>
    <xf borderId="0" fillId="2" fontId="1" numFmtId="1" xfId="0" applyFont="1" applyNumberFormat="1"/>
    <xf borderId="0" fillId="2" fontId="1" numFmtId="0" xfId="0" applyAlignment="1" applyFont="1">
      <alignment readingOrder="0" shrinkToFit="0" wrapText="1"/>
    </xf>
    <xf borderId="0" fillId="3" fontId="1" numFmtId="0" xfId="0" applyAlignment="1" applyFont="1">
      <alignment readingOrder="0"/>
    </xf>
    <xf borderId="0" fillId="8" fontId="6" numFmtId="0" xfId="0" applyAlignment="1" applyFont="1">
      <alignment vertical="bottom"/>
    </xf>
    <xf borderId="0" fillId="7" fontId="1" numFmtId="0" xfId="0" applyAlignment="1" applyFont="1">
      <alignment horizontal="left" readingOrder="0"/>
    </xf>
    <xf borderId="0" fillId="0" fontId="1" numFmtId="0" xfId="0" applyAlignment="1" applyFont="1">
      <alignment readingOrder="0" shrinkToFit="0" wrapText="0"/>
    </xf>
    <xf borderId="2" fillId="5" fontId="1" numFmtId="0" xfId="0" applyAlignment="1" applyBorder="1" applyFont="1">
      <alignment horizontal="right" readingOrder="0"/>
    </xf>
    <xf borderId="2" fillId="6" fontId="7" numFmtId="1" xfId="0" applyAlignment="1" applyBorder="1" applyFont="1" applyNumberFormat="1">
      <alignment horizontal="left" readingOrder="0"/>
    </xf>
    <xf borderId="0" fillId="6" fontId="7" numFmtId="1" xfId="0" applyAlignment="1" applyFont="1" applyNumberFormat="1">
      <alignment horizontal="left" readingOrder="0"/>
    </xf>
    <xf borderId="1" fillId="6" fontId="7" numFmtId="1" xfId="0" applyAlignment="1" applyBorder="1" applyFont="1" applyNumberFormat="1">
      <alignment horizontal="left" readingOrder="0"/>
    </xf>
    <xf borderId="2" fillId="5" fontId="1" numFmtId="0" xfId="0" applyAlignment="1" applyBorder="1" applyFont="1">
      <alignment horizontal="left" readingOrder="0"/>
    </xf>
    <xf borderId="0" fillId="10" fontId="1" numFmtId="0" xfId="0" applyAlignment="1" applyFill="1" applyFont="1">
      <alignment readingOrder="0"/>
    </xf>
    <xf borderId="2" fillId="0" fontId="1" numFmtId="1" xfId="0" applyBorder="1" applyFont="1" applyNumberFormat="1"/>
    <xf borderId="2" fillId="0" fontId="1" numFmtId="0" xfId="0" applyBorder="1" applyFont="1"/>
    <xf borderId="2" fillId="2" fontId="3" numFmtId="1" xfId="0" applyBorder="1" applyFont="1" applyNumberFormat="1"/>
    <xf borderId="0" fillId="2" fontId="3" numFmtId="1" xfId="0" applyFont="1" applyNumberFormat="1"/>
    <xf borderId="2" fillId="2" fontId="3" numFmtId="0" xfId="0" applyBorder="1" applyFont="1"/>
    <xf borderId="0" fillId="6" fontId="1" numFmtId="1" xfId="0" applyAlignment="1" applyFont="1" applyNumberFormat="1">
      <alignment readingOrder="0"/>
    </xf>
    <xf borderId="1" fillId="6" fontId="1" numFmtId="1" xfId="0" applyAlignment="1" applyBorder="1" applyFont="1" applyNumberFormat="1">
      <alignment readingOrder="0"/>
    </xf>
    <xf borderId="0" fillId="11" fontId="1" numFmtId="0" xfId="0" applyAlignment="1" applyFill="1" applyFont="1">
      <alignment readingOrder="0"/>
    </xf>
    <xf borderId="1" fillId="0" fontId="1" numFmtId="0" xfId="0" applyAlignment="1" applyBorder="1" applyFont="1">
      <alignment horizontal="left" readingOrder="0"/>
    </xf>
    <xf borderId="2" fillId="7" fontId="1" numFmtId="1" xfId="0" applyAlignment="1" applyBorder="1" applyFont="1" applyNumberFormat="1">
      <alignment horizontal="right" readingOrder="0"/>
    </xf>
    <xf borderId="0" fillId="5" fontId="1" numFmtId="1" xfId="0" applyAlignment="1" applyFont="1" applyNumberFormat="1">
      <alignment readingOrder="0"/>
    </xf>
    <xf borderId="2" fillId="3" fontId="1" numFmtId="0" xfId="0" applyAlignment="1" applyBorder="1" applyFont="1">
      <alignment horizontal="right" readingOrder="0"/>
    </xf>
    <xf borderId="2" fillId="3" fontId="1" numFmtId="0" xfId="0" applyAlignment="1" applyBorder="1" applyFont="1">
      <alignment horizontal="left" readingOrder="0"/>
    </xf>
    <xf borderId="1" fillId="0" fontId="7" numFmtId="0" xfId="0" applyAlignment="1" applyBorder="1" applyFont="1">
      <alignment horizontal="left" readingOrder="0"/>
    </xf>
    <xf borderId="2" fillId="0" fontId="7" numFmtId="1" xfId="0" applyAlignment="1" applyBorder="1" applyFont="1" applyNumberFormat="1">
      <alignment horizontal="left" readingOrder="0"/>
    </xf>
    <xf borderId="0" fillId="0" fontId="7" numFmtId="1" xfId="0" applyAlignment="1" applyFont="1" applyNumberFormat="1">
      <alignment horizontal="left"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center" readingOrder="0"/>
    </xf>
    <xf borderId="1" fillId="2" fontId="8" numFmtId="0" xfId="0" applyAlignment="1" applyBorder="1" applyFont="1">
      <alignment horizontal="left" readingOrder="0"/>
    </xf>
    <xf borderId="2" fillId="2" fontId="8" numFmtId="1" xfId="0" applyAlignment="1" applyBorder="1" applyFont="1" applyNumberFormat="1">
      <alignment horizontal="left" readingOrder="0"/>
    </xf>
    <xf borderId="0" fillId="2" fontId="8" numFmtId="1" xfId="0" applyAlignment="1" applyFont="1" applyNumberFormat="1">
      <alignment horizontal="left" readingOrder="0"/>
    </xf>
    <xf borderId="0" fillId="2" fontId="3" numFmtId="1" xfId="0" applyAlignment="1" applyFont="1" applyNumberFormat="1">
      <alignment readingOrder="0"/>
    </xf>
    <xf borderId="0" fillId="2" fontId="3" numFmtId="0" xfId="0" applyAlignment="1" applyFont="1">
      <alignment horizontal="left" readingOrder="0"/>
    </xf>
    <xf borderId="0" fillId="2" fontId="3" numFmtId="0" xfId="0" applyAlignment="1" applyFont="1">
      <alignment horizontal="center" readingOrder="0"/>
    </xf>
    <xf borderId="0" fillId="12" fontId="1" numFmtId="0" xfId="0" applyAlignment="1" applyFill="1" applyFont="1">
      <alignment readingOrder="0"/>
    </xf>
    <xf borderId="1" fillId="12" fontId="1" numFmtId="0" xfId="0" applyAlignment="1" applyBorder="1" applyFont="1">
      <alignment readingOrder="0"/>
    </xf>
    <xf borderId="0" fillId="4" fontId="1" numFmtId="0" xfId="0" applyAlignment="1" applyFont="1">
      <alignment horizontal="center" readingOrder="0"/>
    </xf>
    <xf borderId="1" fillId="8" fontId="1" numFmtId="0" xfId="0" applyAlignment="1" applyBorder="1" applyFont="1">
      <alignment readingOrder="0"/>
    </xf>
    <xf borderId="0" fillId="12" fontId="1" numFmtId="0" xfId="0" applyFont="1"/>
    <xf borderId="4" fillId="0" fontId="1" numFmtId="0" xfId="0" applyBorder="1" applyFont="1"/>
    <xf borderId="5" fillId="0" fontId="1" numFmtId="0" xfId="0" applyAlignment="1" applyBorder="1" applyFont="1">
      <alignment readingOrder="0" shrinkToFit="0" wrapText="1"/>
    </xf>
    <xf borderId="7" fillId="0" fontId="1" numFmtId="0" xfId="0" applyAlignment="1" applyBorder="1" applyFont="1">
      <alignment readingOrder="0" shrinkToFit="0" wrapText="1"/>
    </xf>
    <xf borderId="7" fillId="2" fontId="1" numFmtId="0" xfId="0" applyAlignment="1" applyBorder="1" applyFont="1">
      <alignment readingOrder="0" shrinkToFit="0" wrapText="1"/>
    </xf>
    <xf borderId="5" fillId="2" fontId="1" numFmtId="0" xfId="0" applyAlignment="1" applyBorder="1" applyFont="1">
      <alignment readingOrder="0" shrinkToFit="0" wrapText="1"/>
    </xf>
    <xf borderId="8" fillId="0" fontId="2" numFmtId="0" xfId="0" applyAlignment="1" applyBorder="1" applyFont="1">
      <alignment horizontal="center" readingOrder="0" shrinkToFit="0" wrapText="1"/>
    </xf>
    <xf borderId="8" fillId="0" fontId="1" numFmtId="0" xfId="0" applyBorder="1" applyFont="1"/>
    <xf borderId="9" fillId="0" fontId="2" numFmtId="0" xfId="0" applyAlignment="1" applyBorder="1" applyFont="1">
      <alignment horizontal="center" readingOrder="0" shrinkToFit="0" wrapText="1"/>
    </xf>
    <xf borderId="10" fillId="0" fontId="2" numFmtId="0" xfId="0" applyAlignment="1" applyBorder="1" applyFont="1">
      <alignment horizontal="center" readingOrder="0" shrinkToFit="0" wrapText="1"/>
    </xf>
    <xf borderId="10" fillId="2" fontId="2" numFmtId="0" xfId="0" applyAlignment="1" applyBorder="1" applyFont="1">
      <alignment horizontal="center" readingOrder="0" shrinkToFit="0" wrapText="1"/>
    </xf>
    <xf borderId="9" fillId="0" fontId="1" numFmtId="0" xfId="0" applyBorder="1" applyFont="1"/>
    <xf borderId="10" fillId="0" fontId="1" numFmtId="0" xfId="0" applyAlignment="1" applyBorder="1" applyFont="1">
      <alignment readingOrder="0" shrinkToFit="0" wrapText="1"/>
    </xf>
    <xf borderId="8" fillId="0" fontId="2" numFmtId="0" xfId="0" applyAlignment="1" applyBorder="1" applyFont="1">
      <alignment horizontal="center"/>
    </xf>
    <xf borderId="0" fillId="0" fontId="2" numFmtId="0" xfId="0" applyAlignment="1" applyFont="1">
      <alignment readingOrder="0"/>
    </xf>
    <xf borderId="0" fillId="0" fontId="7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castlegroup.co.uk/products/lone-worker-devices" TargetMode="External"/><Relationship Id="rId20" Type="http://schemas.openxmlformats.org/officeDocument/2006/relationships/hyperlink" Target="https://www.medset.com/en/products/holter-ecg/telesmart/" TargetMode="External"/><Relationship Id="rId42" Type="http://schemas.openxmlformats.org/officeDocument/2006/relationships/hyperlink" Target="https://www.anttelecom.co.uk/products-and-solutions/products/smart-apps-devices" TargetMode="External"/><Relationship Id="rId41" Type="http://schemas.openxmlformats.org/officeDocument/2006/relationships/hyperlink" Target="https://www.relianceprotect.co.uk/devices.php" TargetMode="External"/><Relationship Id="rId22" Type="http://schemas.openxmlformats.org/officeDocument/2006/relationships/hyperlink" Target="https://www.soloprotect.com/uk/lone-worker-solutions/" TargetMode="External"/><Relationship Id="rId44" Type="http://schemas.openxmlformats.org/officeDocument/2006/relationships/hyperlink" Target="https://blackridgesolutions.com/lone-worker-safety.html" TargetMode="External"/><Relationship Id="rId21" Type="http://schemas.openxmlformats.org/officeDocument/2006/relationships/hyperlink" Target="https://www.rescuealert.com/product/mobilePERS" TargetMode="External"/><Relationship Id="rId43" Type="http://schemas.openxmlformats.org/officeDocument/2006/relationships/hyperlink" Target="https://www.islesystems.com/lone-worker-personal-alarms" TargetMode="External"/><Relationship Id="rId24" Type="http://schemas.openxmlformats.org/officeDocument/2006/relationships/hyperlink" Target="https://www.fallsafetyapp.com/loneworker-pro" TargetMode="External"/><Relationship Id="rId46" Type="http://schemas.openxmlformats.org/officeDocument/2006/relationships/drawing" Target="../drawings/drawing2.xml"/><Relationship Id="rId23" Type="http://schemas.openxmlformats.org/officeDocument/2006/relationships/hyperlink" Target="https://www.medset.com/en/products/holter-ecg/mini-holter-recorder/" TargetMode="External"/><Relationship Id="rId45" Type="http://schemas.openxmlformats.org/officeDocument/2006/relationships/hyperlink" Target="https://uk.pcmag.com/medical-alert-systems/92216/greatcall-lively-mobile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www.blacklinesafety.com/standard-cartridge" TargetMode="External"/><Relationship Id="rId3" Type="http://schemas.openxmlformats.org/officeDocument/2006/relationships/hyperlink" Target="https://www.mobilehelp.com/" TargetMode="External"/><Relationship Id="rId4" Type="http://schemas.openxmlformats.org/officeDocument/2006/relationships/hyperlink" Target="https://bluestarseniortech.com/shop-health/" TargetMode="External"/><Relationship Id="rId9" Type="http://schemas.openxmlformats.org/officeDocument/2006/relationships/hyperlink" Target="https://www.blacklinesafety.com/loner-mobile-with-loner-duo" TargetMode="External"/><Relationship Id="rId26" Type="http://schemas.openxmlformats.org/officeDocument/2006/relationships/hyperlink" Target="https://www.loneworkersolutions.com/apps-devices" TargetMode="External"/><Relationship Id="rId25" Type="http://schemas.openxmlformats.org/officeDocument/2006/relationships/hyperlink" Target="https://www.gofleet.com/product/man-down-system-lone-worker-safety" TargetMode="External"/><Relationship Id="rId47" Type="http://schemas.openxmlformats.org/officeDocument/2006/relationships/vmlDrawing" Target="../drawings/vmlDrawing1.vml"/><Relationship Id="rId28" Type="http://schemas.openxmlformats.org/officeDocument/2006/relationships/hyperlink" Target="https://zonith.com/products/staff-safety/" TargetMode="External"/><Relationship Id="rId27" Type="http://schemas.openxmlformats.org/officeDocument/2006/relationships/hyperlink" Target="https://eviewgps.manufacturer.globalsources.com/si/6008853321910/pdtl/GPS-personal/1161960748/Lone-worker-Safety-Device.htm" TargetMode="External"/><Relationship Id="rId5" Type="http://schemas.openxmlformats.org/officeDocument/2006/relationships/hyperlink" Target="https://www.lifefone.com/" TargetMode="External"/><Relationship Id="rId6" Type="http://schemas.openxmlformats.org/officeDocument/2006/relationships/hyperlink" Target="https://www.lifeline.philips.com/medical-alert-systems/gosafe.html" TargetMode="External"/><Relationship Id="rId29" Type="http://schemas.openxmlformats.org/officeDocument/2006/relationships/hyperlink" Target="https://graceloneworker.com/" TargetMode="External"/><Relationship Id="rId7" Type="http://schemas.openxmlformats.org/officeDocument/2006/relationships/hyperlink" Target="https://www.medicalguardian.com/products/active-guardian" TargetMode="External"/><Relationship Id="rId8" Type="http://schemas.openxmlformats.org/officeDocument/2006/relationships/hyperlink" Target="https://peoplesafe.co.uk/microsos_personal_alarm/" TargetMode="External"/><Relationship Id="rId31" Type="http://schemas.openxmlformats.org/officeDocument/2006/relationships/hyperlink" Target="https://guardian24.co.uk/spot-gen3-satellite-device/" TargetMode="External"/><Relationship Id="rId30" Type="http://schemas.openxmlformats.org/officeDocument/2006/relationships/hyperlink" Target="http://www.cdnsafety.com/grace.htm" TargetMode="External"/><Relationship Id="rId11" Type="http://schemas.openxmlformats.org/officeDocument/2006/relationships/hyperlink" Target="http://llresponse.com/" TargetMode="External"/><Relationship Id="rId33" Type="http://schemas.openxmlformats.org/officeDocument/2006/relationships/hyperlink" Target="https://www.gdsystems.com/lone-worker-protection/" TargetMode="External"/><Relationship Id="rId10" Type="http://schemas.openxmlformats.org/officeDocument/2006/relationships/hyperlink" Target="https://www.twigcom.com/shop/category/personal-alarms-2" TargetMode="External"/><Relationship Id="rId32" Type="http://schemas.openxmlformats.org/officeDocument/2006/relationships/hyperlink" Target="https://www.checkedsafe.com/loneworker/" TargetMode="External"/><Relationship Id="rId13" Type="http://schemas.openxmlformats.org/officeDocument/2006/relationships/hyperlink" Target="https://support.apple.com/kb/SP766?locale=de_DE&amp;viewlocale=en_US" TargetMode="External"/><Relationship Id="rId35" Type="http://schemas.openxmlformats.org/officeDocument/2006/relationships/hyperlink" Target="https://www.aegissales.com.au/remote-worker/loner-safety-glossary" TargetMode="External"/><Relationship Id="rId12" Type="http://schemas.openxmlformats.org/officeDocument/2006/relationships/hyperlink" Target="https://shop.minifinder.com/en/minifinder-pico-en" TargetMode="External"/><Relationship Id="rId34" Type="http://schemas.openxmlformats.org/officeDocument/2006/relationships/hyperlink" Target="https://www.corpsmonitoring.co.uk/security-monitoring-services/lone-working-devices/" TargetMode="External"/><Relationship Id="rId15" Type="http://schemas.openxmlformats.org/officeDocument/2006/relationships/hyperlink" Target="https://nimb.com/" TargetMode="External"/><Relationship Id="rId37" Type="http://schemas.openxmlformats.org/officeDocument/2006/relationships/hyperlink" Target="https://www.gasdetectors.co.nz/lone-worker-man-down-alarm/" TargetMode="External"/><Relationship Id="rId14" Type="http://schemas.openxmlformats.org/officeDocument/2006/relationships/hyperlink" Target="https://www.breitling.com/us-en/watches/professional/emergency/E7632522-BC02-159E/" TargetMode="External"/><Relationship Id="rId36" Type="http://schemas.openxmlformats.org/officeDocument/2006/relationships/hyperlink" Target="https://www.twigcom.com/page/mandown-alert" TargetMode="External"/><Relationship Id="rId17" Type="http://schemas.openxmlformats.org/officeDocument/2006/relationships/hyperlink" Target="https://www.acticheck.com/" TargetMode="External"/><Relationship Id="rId39" Type="http://schemas.openxmlformats.org/officeDocument/2006/relationships/hyperlink" Target="https://www.scatterling.co/" TargetMode="External"/><Relationship Id="rId16" Type="http://schemas.openxmlformats.org/officeDocument/2006/relationships/hyperlink" Target="https://www.bayalarmmedical.com/medical-alert-system/systems-with-gps/" TargetMode="External"/><Relationship Id="rId38" Type="http://schemas.openxmlformats.org/officeDocument/2006/relationships/hyperlink" Target="https://www.directsafetygroup.com/lone-worker-devices" TargetMode="External"/><Relationship Id="rId19" Type="http://schemas.openxmlformats.org/officeDocument/2006/relationships/hyperlink" Target="https://www.nonin.com/products/3150-oem-ble/" TargetMode="External"/><Relationship Id="rId18" Type="http://schemas.openxmlformats.org/officeDocument/2006/relationships/hyperlink" Target="https://silentbeaco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75"/>
  </cols>
  <sheetData>
    <row r="1">
      <c r="A1" s="1" t="s">
        <v>0</v>
      </c>
    </row>
    <row r="2">
      <c r="A2" s="1" t="s">
        <v>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8.75"/>
    <col customWidth="1" min="2" max="2" width="27.0"/>
    <col customWidth="1" min="3" max="3" width="20.0"/>
    <col customWidth="1" min="4" max="4" width="7.75"/>
    <col customWidth="1" min="5" max="5" width="7.25"/>
    <col customWidth="1" min="6" max="6" width="9.75"/>
    <col customWidth="1" min="7" max="7" width="13.88"/>
    <col customWidth="1" min="8" max="8" width="7.88"/>
    <col customWidth="1" min="9" max="9" width="9.25"/>
    <col customWidth="1" min="10" max="10" width="9.88"/>
    <col customWidth="1" min="11" max="11" width="8.75"/>
    <col customWidth="1" min="12" max="12" width="10.25"/>
    <col customWidth="1" min="13" max="13" width="11.25"/>
    <col customWidth="1" min="14" max="14" width="9.88"/>
    <col customWidth="1" min="15" max="15" width="1.13"/>
    <col customWidth="1" min="16" max="16" width="21.38"/>
    <col customWidth="1" min="18" max="18" width="10.13"/>
    <col customWidth="1" min="19" max="19" width="16.5"/>
    <col customWidth="1" min="20" max="20" width="16.0"/>
    <col customWidth="1" min="21" max="21" width="9.88"/>
    <col customWidth="1" min="22" max="22" width="15.38"/>
    <col customWidth="1" min="23" max="23" width="23.38"/>
    <col customWidth="1" min="24" max="24" width="20.13"/>
    <col customWidth="1" min="25" max="25" width="19.25"/>
    <col customWidth="1" min="26" max="27" width="15.25"/>
    <col customWidth="1" min="29" max="29" width="8.88"/>
    <col customWidth="1" min="30" max="30" width="5.88"/>
    <col customWidth="1" min="31" max="31" width="6.88"/>
    <col customWidth="1" min="32" max="32" width="12.88"/>
    <col customWidth="1" min="33" max="33" width="11.88"/>
    <col customWidth="1" min="34" max="34" width="10.0"/>
    <col customWidth="1" min="36" max="36" width="14.25"/>
    <col customWidth="1" min="38" max="38" width="16.63"/>
    <col customWidth="1" min="40" max="40" width="15.38"/>
    <col customWidth="1" min="41" max="41" width="13.0"/>
    <col customWidth="1" min="44" max="44" width="13.25"/>
    <col customWidth="1" min="46" max="46" width="15.63"/>
    <col customWidth="1" min="52" max="52" width="0.88"/>
    <col customWidth="1" min="53" max="53" width="8.13"/>
  </cols>
  <sheetData>
    <row r="1">
      <c r="A1" s="2"/>
      <c r="C1" s="3"/>
      <c r="D1" s="4" t="s">
        <v>2</v>
      </c>
      <c r="H1" s="4" t="s">
        <v>3</v>
      </c>
      <c r="O1" s="5"/>
      <c r="P1" s="4" t="s">
        <v>4</v>
      </c>
      <c r="S1" s="4" t="s">
        <v>5</v>
      </c>
      <c r="X1" s="4" t="s">
        <v>6</v>
      </c>
      <c r="AE1" s="3"/>
      <c r="AF1" s="4" t="s">
        <v>7</v>
      </c>
      <c r="AJ1" s="2"/>
      <c r="AK1" s="4" t="s">
        <v>8</v>
      </c>
      <c r="AM1" s="4" t="s">
        <v>9</v>
      </c>
      <c r="AR1" s="3"/>
      <c r="AS1" s="4" t="s">
        <v>10</v>
      </c>
      <c r="AU1" s="3"/>
      <c r="AV1" s="4" t="s">
        <v>11</v>
      </c>
      <c r="AZ1" s="6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7"/>
      <c r="BM1" s="7"/>
      <c r="BN1" s="7"/>
    </row>
    <row r="2">
      <c r="A2" s="8" t="s">
        <v>12</v>
      </c>
      <c r="B2" s="8" t="s">
        <v>13</v>
      </c>
      <c r="C2" s="9" t="s">
        <v>14</v>
      </c>
      <c r="D2" s="10" t="s">
        <v>15</v>
      </c>
      <c r="E2" s="11" t="s">
        <v>16</v>
      </c>
      <c r="F2" s="8" t="s">
        <v>17</v>
      </c>
      <c r="G2" s="11" t="s">
        <v>18</v>
      </c>
      <c r="H2" s="10" t="s">
        <v>19</v>
      </c>
      <c r="I2" s="11" t="s">
        <v>5</v>
      </c>
      <c r="J2" s="11" t="s">
        <v>6</v>
      </c>
      <c r="K2" s="11" t="s">
        <v>7</v>
      </c>
      <c r="L2" s="11" t="s">
        <v>8</v>
      </c>
      <c r="M2" s="11" t="s">
        <v>9</v>
      </c>
      <c r="N2" s="11" t="s">
        <v>10</v>
      </c>
      <c r="O2" s="12"/>
      <c r="P2" s="10" t="s">
        <v>20</v>
      </c>
      <c r="Q2" s="11" t="s">
        <v>21</v>
      </c>
      <c r="R2" s="11" t="s">
        <v>22</v>
      </c>
      <c r="S2" s="10" t="s">
        <v>23</v>
      </c>
      <c r="T2" s="11" t="s">
        <v>24</v>
      </c>
      <c r="U2" s="11" t="s">
        <v>25</v>
      </c>
      <c r="V2" s="11" t="s">
        <v>26</v>
      </c>
      <c r="W2" s="11" t="s">
        <v>27</v>
      </c>
      <c r="X2" s="10" t="s">
        <v>28</v>
      </c>
      <c r="Y2" s="11" t="s">
        <v>29</v>
      </c>
      <c r="Z2" s="11" t="s">
        <v>30</v>
      </c>
      <c r="AA2" s="11" t="s">
        <v>31</v>
      </c>
      <c r="AB2" s="11" t="s">
        <v>32</v>
      </c>
      <c r="AC2" s="11" t="s">
        <v>33</v>
      </c>
      <c r="AD2" s="11" t="s">
        <v>34</v>
      </c>
      <c r="AE2" s="11" t="s">
        <v>35</v>
      </c>
      <c r="AF2" s="10" t="s">
        <v>36</v>
      </c>
      <c r="AG2" s="11" t="s">
        <v>37</v>
      </c>
      <c r="AH2" s="11" t="s">
        <v>38</v>
      </c>
      <c r="AI2" s="11" t="s">
        <v>39</v>
      </c>
      <c r="AJ2" s="8" t="s">
        <v>40</v>
      </c>
      <c r="AK2" s="10" t="s">
        <v>41</v>
      </c>
      <c r="AL2" s="11" t="s">
        <v>42</v>
      </c>
      <c r="AM2" s="10" t="s">
        <v>43</v>
      </c>
      <c r="AN2" s="11" t="s">
        <v>44</v>
      </c>
      <c r="AO2" s="11" t="s">
        <v>45</v>
      </c>
      <c r="AP2" s="11" t="s">
        <v>46</v>
      </c>
      <c r="AQ2" s="11" t="s">
        <v>47</v>
      </c>
      <c r="AR2" s="11" t="s">
        <v>48</v>
      </c>
      <c r="AS2" s="10" t="s">
        <v>49</v>
      </c>
      <c r="AT2" s="11" t="s">
        <v>50</v>
      </c>
      <c r="AU2" s="13" t="s">
        <v>51</v>
      </c>
      <c r="AV2" s="10" t="s">
        <v>52</v>
      </c>
      <c r="AW2" s="8" t="s">
        <v>53</v>
      </c>
      <c r="AX2" s="11" t="s">
        <v>54</v>
      </c>
      <c r="AY2" s="11" t="s">
        <v>55</v>
      </c>
      <c r="AZ2" s="14"/>
      <c r="BA2" s="11" t="s">
        <v>56</v>
      </c>
      <c r="BB2" s="1" t="s">
        <v>57</v>
      </c>
      <c r="BI2" s="11"/>
    </row>
    <row r="3">
      <c r="A3" s="15"/>
      <c r="B3" s="15"/>
      <c r="C3" s="16"/>
      <c r="D3" s="17"/>
      <c r="E3" s="18"/>
      <c r="F3" s="19"/>
      <c r="G3" s="15"/>
      <c r="H3" s="17"/>
      <c r="I3" s="15"/>
      <c r="J3" s="15"/>
      <c r="K3" s="15"/>
      <c r="L3" s="15"/>
      <c r="M3" s="15"/>
      <c r="N3" s="15"/>
      <c r="O3" s="12"/>
      <c r="P3" s="17"/>
      <c r="Q3" s="15"/>
      <c r="R3" s="15"/>
      <c r="S3" s="17"/>
      <c r="T3" s="15"/>
      <c r="U3" s="15"/>
      <c r="V3" s="15"/>
      <c r="W3" s="15"/>
      <c r="X3" s="17"/>
      <c r="Y3" s="15"/>
      <c r="Z3" s="15"/>
      <c r="AA3" s="15"/>
      <c r="AB3" s="15"/>
      <c r="AC3" s="15"/>
      <c r="AD3" s="15"/>
      <c r="AE3" s="15"/>
      <c r="AF3" s="17"/>
      <c r="AG3" s="15"/>
      <c r="AH3" s="15"/>
      <c r="AI3" s="15"/>
      <c r="AJ3" s="15"/>
      <c r="AK3" s="17"/>
      <c r="AL3" s="15"/>
      <c r="AM3" s="17"/>
      <c r="AN3" s="15"/>
      <c r="AO3" s="15"/>
      <c r="AP3" s="15"/>
      <c r="AQ3" s="15"/>
      <c r="AR3" s="15"/>
      <c r="AS3" s="17"/>
      <c r="AT3" s="15"/>
      <c r="AU3" s="16"/>
      <c r="AV3" s="17"/>
      <c r="AW3" s="15"/>
      <c r="AX3" s="15"/>
      <c r="AY3" s="19"/>
      <c r="AZ3" s="20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</row>
    <row r="4">
      <c r="A4" s="21" t="s">
        <v>58</v>
      </c>
      <c r="B4" s="21"/>
      <c r="C4" s="22"/>
      <c r="D4" s="23"/>
      <c r="E4" s="24"/>
      <c r="F4" s="25"/>
      <c r="G4" s="21"/>
      <c r="H4" s="23"/>
      <c r="I4" s="21"/>
      <c r="J4" s="21"/>
      <c r="K4" s="21"/>
      <c r="L4" s="21"/>
      <c r="M4" s="21"/>
      <c r="N4" s="21"/>
      <c r="O4" s="26"/>
      <c r="P4" s="23"/>
      <c r="Q4" s="21"/>
      <c r="R4" s="21"/>
      <c r="S4" s="23"/>
      <c r="T4" s="21"/>
      <c r="U4" s="21"/>
      <c r="V4" s="21"/>
      <c r="W4" s="21"/>
      <c r="X4" s="23"/>
      <c r="Y4" s="21"/>
      <c r="Z4" s="21"/>
      <c r="AA4" s="21"/>
      <c r="AB4" s="21"/>
      <c r="AC4" s="21"/>
      <c r="AD4" s="21"/>
      <c r="AE4" s="21"/>
      <c r="AF4" s="23"/>
      <c r="AG4" s="21"/>
      <c r="AH4" s="21"/>
      <c r="AI4" s="21"/>
      <c r="AJ4" s="21"/>
      <c r="AK4" s="23"/>
      <c r="AL4" s="21"/>
      <c r="AM4" s="23"/>
      <c r="AN4" s="21"/>
      <c r="AO4" s="21"/>
      <c r="AP4" s="21"/>
      <c r="AQ4" s="21"/>
      <c r="AR4" s="21"/>
      <c r="AS4" s="23"/>
      <c r="AT4" s="21"/>
      <c r="AU4" s="22"/>
      <c r="AV4" s="23"/>
      <c r="AW4" s="21"/>
      <c r="AX4" s="21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</row>
    <row r="5">
      <c r="A5" s="1"/>
      <c r="B5" s="1"/>
      <c r="C5" s="27"/>
      <c r="D5" s="28"/>
      <c r="E5" s="29"/>
      <c r="G5" s="1"/>
      <c r="H5" s="28"/>
      <c r="I5" s="1"/>
      <c r="J5" s="1"/>
      <c r="K5" s="1"/>
      <c r="L5" s="1"/>
      <c r="M5" s="1"/>
      <c r="N5" s="1"/>
      <c r="O5" s="12"/>
      <c r="P5" s="28"/>
      <c r="Q5" s="1"/>
      <c r="R5" s="1"/>
      <c r="S5" s="28"/>
      <c r="T5" s="1"/>
      <c r="U5" s="1"/>
      <c r="V5" s="1"/>
      <c r="W5" s="1"/>
      <c r="X5" s="28"/>
      <c r="Y5" s="1"/>
      <c r="Z5" s="1"/>
      <c r="AA5" s="1"/>
      <c r="AB5" s="1"/>
      <c r="AC5" s="1"/>
      <c r="AD5" s="1"/>
      <c r="AE5" s="1"/>
      <c r="AF5" s="28"/>
      <c r="AG5" s="1"/>
      <c r="AH5" s="1"/>
      <c r="AI5" s="1"/>
      <c r="AJ5" s="1"/>
      <c r="AK5" s="28"/>
      <c r="AL5" s="1"/>
      <c r="AM5" s="28"/>
      <c r="AN5" s="1"/>
      <c r="AO5" s="1"/>
      <c r="AP5" s="1"/>
      <c r="AQ5" s="1"/>
      <c r="AR5" s="1"/>
      <c r="AS5" s="28"/>
      <c r="AT5" s="1"/>
      <c r="AU5" s="27"/>
      <c r="AV5" s="28"/>
      <c r="AW5" s="1"/>
      <c r="AX5" s="1"/>
      <c r="AZ5" s="30"/>
    </row>
    <row r="6">
      <c r="A6" s="1" t="s">
        <v>59</v>
      </c>
      <c r="B6" s="31" t="s">
        <v>60</v>
      </c>
      <c r="C6" s="27" t="s">
        <v>61</v>
      </c>
      <c r="D6" s="32">
        <v>485.0</v>
      </c>
      <c r="E6" s="33">
        <v>42.5</v>
      </c>
      <c r="F6" s="34">
        <f t="shared" ref="F6:F7" si="1">D6+E6*12*10</f>
        <v>5585</v>
      </c>
      <c r="G6" s="33">
        <v>0.0</v>
      </c>
      <c r="H6" s="35" t="s">
        <v>62</v>
      </c>
      <c r="I6" s="36" t="s">
        <v>63</v>
      </c>
      <c r="J6" s="36" t="s">
        <v>63</v>
      </c>
      <c r="K6" s="37" t="s">
        <v>64</v>
      </c>
      <c r="L6" s="36" t="s">
        <v>63</v>
      </c>
      <c r="M6" s="36" t="s">
        <v>63</v>
      </c>
      <c r="N6" s="36" t="s">
        <v>63</v>
      </c>
      <c r="O6" s="38"/>
      <c r="P6" s="39" t="s">
        <v>65</v>
      </c>
      <c r="Q6" s="40" t="s">
        <v>66</v>
      </c>
      <c r="R6" s="36">
        <v>2004.0</v>
      </c>
      <c r="S6" s="41" t="s">
        <v>67</v>
      </c>
      <c r="T6" s="36" t="s">
        <v>67</v>
      </c>
      <c r="U6" s="36" t="s">
        <v>67</v>
      </c>
      <c r="V6" s="36" t="s">
        <v>68</v>
      </c>
      <c r="W6" s="40" t="s">
        <v>66</v>
      </c>
      <c r="X6" s="41" t="s">
        <v>67</v>
      </c>
      <c r="Y6" s="40" t="s">
        <v>66</v>
      </c>
      <c r="Z6" s="36" t="s">
        <v>67</v>
      </c>
      <c r="AA6" s="36" t="s">
        <v>67</v>
      </c>
      <c r="AB6" s="36" t="s">
        <v>67</v>
      </c>
      <c r="AC6" s="36" t="s">
        <v>67</v>
      </c>
      <c r="AD6" s="36" t="s">
        <v>67</v>
      </c>
      <c r="AE6" s="42" t="s">
        <v>66</v>
      </c>
      <c r="AF6" s="43">
        <v>0.75</v>
      </c>
      <c r="AG6" s="44" t="s">
        <v>69</v>
      </c>
      <c r="AH6" s="45" t="s">
        <v>70</v>
      </c>
      <c r="AI6" s="36" t="s">
        <v>67</v>
      </c>
      <c r="AJ6" s="36" t="s">
        <v>67</v>
      </c>
      <c r="AK6" s="46" t="s">
        <v>71</v>
      </c>
      <c r="AL6" s="36" t="s">
        <v>67</v>
      </c>
      <c r="AM6" s="41" t="s">
        <v>67</v>
      </c>
      <c r="AN6" s="36" t="s">
        <v>67</v>
      </c>
      <c r="AO6" s="45" t="s">
        <v>70</v>
      </c>
      <c r="AP6" s="36" t="s">
        <v>72</v>
      </c>
      <c r="AQ6" s="36" t="s">
        <v>73</v>
      </c>
      <c r="AR6" s="40" t="s">
        <v>74</v>
      </c>
      <c r="AS6" s="41" t="s">
        <v>67</v>
      </c>
      <c r="AT6" s="45" t="s">
        <v>70</v>
      </c>
      <c r="AU6" s="47" t="s">
        <v>73</v>
      </c>
      <c r="AV6" s="41" t="s">
        <v>67</v>
      </c>
      <c r="AW6" s="36" t="s">
        <v>67</v>
      </c>
      <c r="AX6" s="45" t="s">
        <v>70</v>
      </c>
      <c r="AY6" s="45" t="s">
        <v>70</v>
      </c>
      <c r="AZ6" s="14"/>
      <c r="BA6" s="1">
        <v>2019.07</v>
      </c>
      <c r="BB6" s="1" t="s">
        <v>75</v>
      </c>
    </row>
    <row r="7">
      <c r="A7" s="1" t="s">
        <v>76</v>
      </c>
      <c r="B7" s="48" t="s">
        <v>77</v>
      </c>
      <c r="C7" s="27" t="s">
        <v>78</v>
      </c>
      <c r="D7" s="32">
        <v>350.0</v>
      </c>
      <c r="E7" s="33">
        <f>623/12</f>
        <v>51.91666667</v>
      </c>
      <c r="F7" s="34">
        <f t="shared" si="1"/>
        <v>6580</v>
      </c>
      <c r="G7" s="33">
        <v>0.0</v>
      </c>
      <c r="H7" s="41" t="s">
        <v>63</v>
      </c>
      <c r="I7" s="36" t="s">
        <v>63</v>
      </c>
      <c r="J7" s="36" t="s">
        <v>63</v>
      </c>
      <c r="K7" s="36" t="s">
        <v>63</v>
      </c>
      <c r="L7" s="37" t="s">
        <v>64</v>
      </c>
      <c r="M7" s="36" t="s">
        <v>63</v>
      </c>
      <c r="N7" s="37" t="s">
        <v>64</v>
      </c>
      <c r="O7" s="49"/>
      <c r="P7" s="28"/>
      <c r="Q7" s="36" t="s">
        <v>79</v>
      </c>
      <c r="R7" s="36">
        <v>2010.0</v>
      </c>
      <c r="S7" s="50" t="s">
        <v>70</v>
      </c>
      <c r="T7" s="36" t="s">
        <v>67</v>
      </c>
      <c r="U7" s="36" t="s">
        <v>67</v>
      </c>
      <c r="V7" s="40" t="s">
        <v>66</v>
      </c>
      <c r="W7" s="40" t="s">
        <v>66</v>
      </c>
      <c r="X7" s="41" t="s">
        <v>67</v>
      </c>
      <c r="Y7" s="36" t="s">
        <v>67</v>
      </c>
      <c r="Z7" s="40" t="s">
        <v>66</v>
      </c>
      <c r="AA7" s="36" t="s">
        <v>67</v>
      </c>
      <c r="AB7" s="36" t="s">
        <v>67</v>
      </c>
      <c r="AC7" s="36" t="s">
        <v>67</v>
      </c>
      <c r="AD7" s="45" t="s">
        <v>70</v>
      </c>
      <c r="AE7" s="45" t="s">
        <v>70</v>
      </c>
      <c r="AF7" s="50" t="s">
        <v>80</v>
      </c>
      <c r="AG7" s="40" t="s">
        <v>66</v>
      </c>
      <c r="AH7" s="36" t="s">
        <v>81</v>
      </c>
      <c r="AI7" s="37" t="s">
        <v>82</v>
      </c>
      <c r="AJ7" s="36" t="s">
        <v>81</v>
      </c>
      <c r="AK7" s="51" t="s">
        <v>83</v>
      </c>
      <c r="AL7" s="40" t="s">
        <v>66</v>
      </c>
      <c r="AM7" s="41" t="s">
        <v>67</v>
      </c>
      <c r="AN7" s="36" t="s">
        <v>84</v>
      </c>
      <c r="AO7" s="36" t="s">
        <v>84</v>
      </c>
      <c r="AP7" s="45" t="s">
        <v>70</v>
      </c>
      <c r="AQ7" s="40" t="s">
        <v>66</v>
      </c>
      <c r="AR7" s="40" t="s">
        <v>66</v>
      </c>
      <c r="AS7" s="41" t="s">
        <v>67</v>
      </c>
      <c r="AT7" s="45" t="s">
        <v>70</v>
      </c>
      <c r="AU7" s="52" t="s">
        <v>85</v>
      </c>
      <c r="AV7" s="39" t="s">
        <v>66</v>
      </c>
      <c r="AW7" s="45" t="s">
        <v>70</v>
      </c>
      <c r="AX7" s="45" t="s">
        <v>70</v>
      </c>
      <c r="AY7" s="45" t="s">
        <v>70</v>
      </c>
      <c r="AZ7" s="30"/>
      <c r="BA7" s="1">
        <v>2019.07</v>
      </c>
    </row>
    <row r="8">
      <c r="A8" s="1"/>
      <c r="B8" s="1"/>
      <c r="C8" s="27"/>
      <c r="D8" s="32"/>
      <c r="E8" s="33"/>
      <c r="F8" s="34"/>
      <c r="G8" s="33"/>
      <c r="H8" s="28"/>
      <c r="I8" s="1"/>
      <c r="J8" s="1"/>
      <c r="K8" s="1"/>
      <c r="L8" s="1"/>
      <c r="M8" s="1"/>
      <c r="N8" s="1"/>
      <c r="O8" s="38"/>
      <c r="P8" s="28"/>
      <c r="Q8" s="1"/>
      <c r="R8" s="1"/>
      <c r="S8" s="28"/>
      <c r="T8" s="1"/>
      <c r="U8" s="1"/>
      <c r="V8" s="1"/>
      <c r="W8" s="1"/>
      <c r="X8" s="28"/>
      <c r="Y8" s="1"/>
      <c r="Z8" s="1"/>
      <c r="AA8" s="1"/>
      <c r="AB8" s="1"/>
      <c r="AC8" s="1"/>
      <c r="AD8" s="1"/>
      <c r="AE8" s="1"/>
      <c r="AF8" s="28"/>
      <c r="AG8" s="1"/>
      <c r="AH8" s="1"/>
      <c r="AI8" s="1"/>
      <c r="AJ8" s="1"/>
      <c r="AK8" s="28"/>
      <c r="AL8" s="1"/>
      <c r="AM8" s="28"/>
      <c r="AN8" s="1"/>
      <c r="AO8" s="1"/>
      <c r="AP8" s="1"/>
      <c r="AQ8" s="1"/>
      <c r="AR8" s="1"/>
      <c r="AS8" s="28"/>
      <c r="AT8" s="1"/>
      <c r="AU8" s="27"/>
      <c r="AV8" s="28"/>
      <c r="AW8" s="1"/>
      <c r="AX8" s="1"/>
      <c r="AY8" s="1"/>
      <c r="AZ8" s="14"/>
      <c r="BA8" s="1"/>
      <c r="BB8" s="1"/>
      <c r="BC8" s="11"/>
      <c r="BD8" s="11"/>
      <c r="BE8" s="11"/>
      <c r="BG8" s="11"/>
      <c r="BH8" s="11"/>
    </row>
    <row r="9">
      <c r="A9" s="21" t="s">
        <v>86</v>
      </c>
      <c r="B9" s="14"/>
      <c r="C9" s="53"/>
      <c r="D9" s="54"/>
      <c r="E9" s="55"/>
      <c r="F9" s="56"/>
      <c r="G9" s="55"/>
      <c r="H9" s="38"/>
      <c r="I9" s="14"/>
      <c r="J9" s="14"/>
      <c r="K9" s="14"/>
      <c r="L9" s="14"/>
      <c r="M9" s="14"/>
      <c r="N9" s="14"/>
      <c r="O9" s="38"/>
      <c r="P9" s="38"/>
      <c r="Q9" s="14"/>
      <c r="R9" s="14"/>
      <c r="S9" s="38"/>
      <c r="T9" s="14"/>
      <c r="U9" s="14"/>
      <c r="V9" s="14"/>
      <c r="W9" s="14"/>
      <c r="X9" s="38"/>
      <c r="Y9" s="14"/>
      <c r="Z9" s="14"/>
      <c r="AA9" s="14"/>
      <c r="AB9" s="14"/>
      <c r="AC9" s="14"/>
      <c r="AD9" s="14"/>
      <c r="AE9" s="14"/>
      <c r="AF9" s="38"/>
      <c r="AG9" s="14"/>
      <c r="AH9" s="14"/>
      <c r="AI9" s="14"/>
      <c r="AJ9" s="14"/>
      <c r="AK9" s="38"/>
      <c r="AL9" s="21"/>
      <c r="AM9" s="38"/>
      <c r="AN9" s="14"/>
      <c r="AO9" s="14"/>
      <c r="AP9" s="14"/>
      <c r="AQ9" s="14"/>
      <c r="AR9" s="14"/>
      <c r="AS9" s="38"/>
      <c r="AT9" s="14"/>
      <c r="AU9" s="53"/>
      <c r="AV9" s="38"/>
      <c r="AW9" s="14"/>
      <c r="AX9" s="14"/>
      <c r="AY9" s="14"/>
      <c r="AZ9" s="14"/>
      <c r="BA9" s="14"/>
      <c r="BB9" s="14"/>
      <c r="BC9" s="57"/>
      <c r="BD9" s="57"/>
      <c r="BE9" s="57"/>
      <c r="BF9" s="30"/>
      <c r="BG9" s="57"/>
      <c r="BH9" s="57"/>
      <c r="BI9" s="30"/>
      <c r="BJ9" s="30"/>
      <c r="BK9" s="30"/>
      <c r="BL9" s="30"/>
      <c r="BM9" s="30"/>
      <c r="BN9" s="30"/>
    </row>
    <row r="10">
      <c r="A10" s="1"/>
      <c r="B10" s="1"/>
      <c r="C10" s="27"/>
      <c r="D10" s="32"/>
      <c r="E10" s="33"/>
      <c r="F10" s="34"/>
      <c r="G10" s="33"/>
      <c r="H10" s="28"/>
      <c r="I10" s="1"/>
      <c r="J10" s="1"/>
      <c r="K10" s="1"/>
      <c r="L10" s="1"/>
      <c r="M10" s="1"/>
      <c r="N10" s="1"/>
      <c r="O10" s="38"/>
      <c r="P10" s="28"/>
      <c r="Q10" s="1"/>
      <c r="R10" s="1"/>
      <c r="S10" s="28"/>
      <c r="T10" s="1"/>
      <c r="U10" s="1"/>
      <c r="V10" s="1"/>
      <c r="W10" s="1"/>
      <c r="X10" s="28"/>
      <c r="Y10" s="1"/>
      <c r="Z10" s="1"/>
      <c r="AA10" s="1"/>
      <c r="AB10" s="1"/>
      <c r="AC10" s="1"/>
      <c r="AD10" s="1"/>
      <c r="AE10" s="1"/>
      <c r="AF10" s="28"/>
      <c r="AG10" s="1"/>
      <c r="AH10" s="1"/>
      <c r="AI10" s="1"/>
      <c r="AJ10" s="1"/>
      <c r="AK10" s="28"/>
      <c r="AL10" s="1"/>
      <c r="AM10" s="28"/>
      <c r="AN10" s="1"/>
      <c r="AO10" s="1"/>
      <c r="AP10" s="1"/>
      <c r="AQ10" s="1"/>
      <c r="AR10" s="1"/>
      <c r="AS10" s="28"/>
      <c r="AT10" s="1"/>
      <c r="AU10" s="27"/>
      <c r="AV10" s="28"/>
      <c r="AW10" s="1"/>
      <c r="AX10" s="1"/>
      <c r="AY10" s="1"/>
      <c r="AZ10" s="14"/>
      <c r="BA10" s="1"/>
      <c r="BB10" s="1"/>
      <c r="BC10" s="11"/>
      <c r="BD10" s="11"/>
      <c r="BE10" s="11"/>
      <c r="BG10" s="11"/>
      <c r="BH10" s="11"/>
    </row>
    <row r="11">
      <c r="A11" s="1" t="s">
        <v>87</v>
      </c>
      <c r="B11" s="48" t="s">
        <v>88</v>
      </c>
      <c r="C11" s="27" t="s">
        <v>78</v>
      </c>
      <c r="D11" s="32">
        <v>0.0</v>
      </c>
      <c r="E11" s="34">
        <f>451.47/12</f>
        <v>37.6225</v>
      </c>
      <c r="F11" s="34">
        <f t="shared" ref="F11:F14" si="2">D11+E11*12*10</f>
        <v>4514.7</v>
      </c>
      <c r="G11" s="33">
        <v>0.0</v>
      </c>
      <c r="H11" s="41" t="s">
        <v>63</v>
      </c>
      <c r="I11" s="36" t="s">
        <v>63</v>
      </c>
      <c r="J11" s="36" t="s">
        <v>63</v>
      </c>
      <c r="K11" s="37" t="s">
        <v>64</v>
      </c>
      <c r="L11" s="37" t="s">
        <v>64</v>
      </c>
      <c r="M11" s="37" t="s">
        <v>64</v>
      </c>
      <c r="N11" s="37" t="s">
        <v>64</v>
      </c>
      <c r="O11" s="49"/>
      <c r="P11" s="39" t="s">
        <v>89</v>
      </c>
      <c r="Q11" s="36" t="s">
        <v>90</v>
      </c>
      <c r="R11" s="36">
        <v>2013.0</v>
      </c>
      <c r="S11" s="50" t="s">
        <v>70</v>
      </c>
      <c r="T11" s="36" t="s">
        <v>67</v>
      </c>
      <c r="U11" s="36" t="s">
        <v>67</v>
      </c>
      <c r="V11" s="40" t="s">
        <v>66</v>
      </c>
      <c r="W11" s="40" t="s">
        <v>66</v>
      </c>
      <c r="X11" s="39" t="s">
        <v>66</v>
      </c>
      <c r="Y11" s="36" t="s">
        <v>67</v>
      </c>
      <c r="Z11" s="40" t="s">
        <v>66</v>
      </c>
      <c r="AA11" s="36" t="s">
        <v>67</v>
      </c>
      <c r="AB11" s="36" t="s">
        <v>67</v>
      </c>
      <c r="AC11" s="36" t="s">
        <v>67</v>
      </c>
      <c r="AD11" s="45" t="s">
        <v>70</v>
      </c>
      <c r="AE11" s="45" t="s">
        <v>70</v>
      </c>
      <c r="AF11" s="40" t="s">
        <v>91</v>
      </c>
      <c r="AG11" s="40" t="s">
        <v>66</v>
      </c>
      <c r="AH11" s="37" t="s">
        <v>92</v>
      </c>
      <c r="AI11" s="36" t="s">
        <v>67</v>
      </c>
      <c r="AJ11" s="37" t="s">
        <v>92</v>
      </c>
      <c r="AK11" s="43" t="s">
        <v>93</v>
      </c>
      <c r="AL11" s="37" t="s">
        <v>94</v>
      </c>
      <c r="AM11" s="41" t="s">
        <v>67</v>
      </c>
      <c r="AN11" s="45" t="s">
        <v>70</v>
      </c>
      <c r="AO11" s="45" t="s">
        <v>70</v>
      </c>
      <c r="AP11" s="36" t="s">
        <v>95</v>
      </c>
      <c r="AQ11" s="40" t="s">
        <v>66</v>
      </c>
      <c r="AR11" s="40" t="s">
        <v>66</v>
      </c>
      <c r="AS11" s="41" t="s">
        <v>67</v>
      </c>
      <c r="AT11" s="45" t="s">
        <v>70</v>
      </c>
      <c r="AU11" s="40" t="s">
        <v>66</v>
      </c>
      <c r="AV11" s="50" t="s">
        <v>70</v>
      </c>
      <c r="AW11" s="45" t="s">
        <v>70</v>
      </c>
      <c r="AX11" s="45" t="s">
        <v>70</v>
      </c>
      <c r="AY11" s="36" t="s">
        <v>67</v>
      </c>
      <c r="AZ11" s="30"/>
      <c r="BA11" s="1">
        <v>2019.07</v>
      </c>
    </row>
    <row r="12">
      <c r="A12" s="1" t="s">
        <v>96</v>
      </c>
      <c r="B12" s="48" t="s">
        <v>97</v>
      </c>
      <c r="C12" s="27" t="s">
        <v>78</v>
      </c>
      <c r="D12" s="32">
        <v>0.0</v>
      </c>
      <c r="E12" s="33">
        <v>59.0</v>
      </c>
      <c r="F12" s="34">
        <f t="shared" si="2"/>
        <v>7080</v>
      </c>
      <c r="G12" s="33">
        <v>0.0</v>
      </c>
      <c r="H12" s="35" t="s">
        <v>62</v>
      </c>
      <c r="I12" s="36" t="s">
        <v>63</v>
      </c>
      <c r="J12" s="36" t="s">
        <v>63</v>
      </c>
      <c r="K12" s="37" t="s">
        <v>64</v>
      </c>
      <c r="L12" s="37" t="s">
        <v>64</v>
      </c>
      <c r="M12" s="37" t="s">
        <v>64</v>
      </c>
      <c r="N12" s="37" t="s">
        <v>64</v>
      </c>
      <c r="O12" s="49"/>
      <c r="P12" s="39" t="s">
        <v>89</v>
      </c>
      <c r="Q12" s="36" t="s">
        <v>98</v>
      </c>
      <c r="R12" s="58">
        <v>1976.0</v>
      </c>
      <c r="S12" s="50" t="s">
        <v>70</v>
      </c>
      <c r="T12" s="36" t="s">
        <v>67</v>
      </c>
      <c r="U12" s="36" t="s">
        <v>67</v>
      </c>
      <c r="V12" s="40" t="s">
        <v>66</v>
      </c>
      <c r="W12" s="36" t="s">
        <v>99</v>
      </c>
      <c r="X12" s="41" t="s">
        <v>67</v>
      </c>
      <c r="Y12" s="40" t="s">
        <v>66</v>
      </c>
      <c r="Z12" s="40" t="s">
        <v>66</v>
      </c>
      <c r="AA12" s="36" t="s">
        <v>67</v>
      </c>
      <c r="AB12" s="36" t="s">
        <v>67</v>
      </c>
      <c r="AC12" s="36" t="s">
        <v>67</v>
      </c>
      <c r="AD12" s="45" t="s">
        <v>70</v>
      </c>
      <c r="AE12" s="45" t="s">
        <v>70</v>
      </c>
      <c r="AF12" s="36">
        <v>30.0</v>
      </c>
      <c r="AG12" s="40" t="s">
        <v>66</v>
      </c>
      <c r="AH12" s="37" t="s">
        <v>100</v>
      </c>
      <c r="AI12" s="36" t="s">
        <v>67</v>
      </c>
      <c r="AJ12" s="59" t="s">
        <v>70</v>
      </c>
      <c r="AK12" s="43" t="s">
        <v>93</v>
      </c>
      <c r="AL12" s="37" t="s">
        <v>94</v>
      </c>
      <c r="AM12" s="41" t="s">
        <v>67</v>
      </c>
      <c r="AN12" s="45" t="s">
        <v>70</v>
      </c>
      <c r="AO12" s="45" t="s">
        <v>70</v>
      </c>
      <c r="AP12" s="36" t="s">
        <v>95</v>
      </c>
      <c r="AQ12" s="40" t="s">
        <v>66</v>
      </c>
      <c r="AR12" s="40" t="s">
        <v>66</v>
      </c>
      <c r="AS12" s="41" t="s">
        <v>67</v>
      </c>
      <c r="AT12" s="45" t="s">
        <v>70</v>
      </c>
      <c r="AU12" s="40" t="s">
        <v>66</v>
      </c>
      <c r="AV12" s="40" t="s">
        <v>66</v>
      </c>
      <c r="AW12" s="45" t="s">
        <v>70</v>
      </c>
      <c r="AX12" s="45" t="s">
        <v>70</v>
      </c>
      <c r="AY12" s="45" t="s">
        <v>70</v>
      </c>
      <c r="AZ12" s="30"/>
      <c r="BA12" s="1">
        <v>2019.07</v>
      </c>
    </row>
    <row r="13">
      <c r="A13" s="1" t="s">
        <v>101</v>
      </c>
      <c r="B13" s="48" t="s">
        <v>102</v>
      </c>
      <c r="C13" s="1" t="s">
        <v>78</v>
      </c>
      <c r="D13" s="32">
        <v>149.0</v>
      </c>
      <c r="E13" s="33">
        <v>65.0</v>
      </c>
      <c r="F13" s="34">
        <f t="shared" si="2"/>
        <v>7949</v>
      </c>
      <c r="G13" s="33">
        <v>0.0</v>
      </c>
      <c r="H13" s="35" t="s">
        <v>62</v>
      </c>
      <c r="I13" s="36" t="s">
        <v>63</v>
      </c>
      <c r="J13" s="36" t="s">
        <v>63</v>
      </c>
      <c r="K13" s="37" t="s">
        <v>64</v>
      </c>
      <c r="L13" s="60" t="s">
        <v>103</v>
      </c>
      <c r="M13" s="37" t="s">
        <v>64</v>
      </c>
      <c r="N13" s="36" t="s">
        <v>63</v>
      </c>
      <c r="O13" s="14"/>
      <c r="P13" s="39" t="s">
        <v>89</v>
      </c>
      <c r="Q13" s="36" t="s">
        <v>104</v>
      </c>
      <c r="R13" s="58">
        <v>1974.0</v>
      </c>
      <c r="S13" s="50" t="s">
        <v>70</v>
      </c>
      <c r="T13" s="36" t="s">
        <v>67</v>
      </c>
      <c r="U13" s="36" t="s">
        <v>67</v>
      </c>
      <c r="V13" s="40" t="s">
        <v>66</v>
      </c>
      <c r="W13" s="40" t="s">
        <v>66</v>
      </c>
      <c r="X13" s="41" t="s">
        <v>67</v>
      </c>
      <c r="Y13" s="40" t="s">
        <v>66</v>
      </c>
      <c r="Z13" s="40" t="s">
        <v>66</v>
      </c>
      <c r="AA13" s="36" t="s">
        <v>67</v>
      </c>
      <c r="AB13" s="36" t="s">
        <v>67</v>
      </c>
      <c r="AC13" s="36" t="s">
        <v>67</v>
      </c>
      <c r="AD13" s="40" t="s">
        <v>66</v>
      </c>
      <c r="AE13" s="40"/>
      <c r="AF13" s="50">
        <v>1.5</v>
      </c>
      <c r="AG13" s="37" t="s">
        <v>105</v>
      </c>
      <c r="AH13" s="45" t="s">
        <v>70</v>
      </c>
      <c r="AI13" s="36" t="s">
        <v>67</v>
      </c>
      <c r="AJ13" s="45" t="s">
        <v>70</v>
      </c>
      <c r="AK13" s="43" t="s">
        <v>93</v>
      </c>
      <c r="AL13" s="45" t="s">
        <v>70</v>
      </c>
      <c r="AM13" s="41" t="s">
        <v>67</v>
      </c>
      <c r="AN13" s="45" t="s">
        <v>70</v>
      </c>
      <c r="AO13" s="45" t="s">
        <v>70</v>
      </c>
      <c r="AP13" s="45" t="s">
        <v>70</v>
      </c>
      <c r="AQ13" s="40" t="s">
        <v>66</v>
      </c>
      <c r="AR13" s="36" t="s">
        <v>67</v>
      </c>
      <c r="AS13" s="41" t="s">
        <v>67</v>
      </c>
      <c r="AT13" s="36" t="s">
        <v>106</v>
      </c>
      <c r="AU13" s="40" t="s">
        <v>66</v>
      </c>
      <c r="AV13" s="41" t="s">
        <v>67</v>
      </c>
      <c r="AW13" s="45" t="s">
        <v>70</v>
      </c>
      <c r="AX13" s="45" t="s">
        <v>70</v>
      </c>
      <c r="AY13" s="45" t="s">
        <v>70</v>
      </c>
      <c r="AZ13" s="30"/>
      <c r="BA13" s="1">
        <v>2019.07</v>
      </c>
    </row>
    <row r="14" ht="15.75" customHeight="1">
      <c r="A14" s="61" t="s">
        <v>107</v>
      </c>
      <c r="B14" s="48" t="s">
        <v>108</v>
      </c>
      <c r="C14" s="27" t="s">
        <v>78</v>
      </c>
      <c r="D14" s="32">
        <v>0.0</v>
      </c>
      <c r="E14" s="33">
        <v>43.0</v>
      </c>
      <c r="F14" s="34">
        <f t="shared" si="2"/>
        <v>5160</v>
      </c>
      <c r="G14" s="33">
        <v>0.0</v>
      </c>
      <c r="H14" s="41" t="s">
        <v>63</v>
      </c>
      <c r="I14" s="36" t="s">
        <v>63</v>
      </c>
      <c r="J14" s="36" t="s">
        <v>63</v>
      </c>
      <c r="K14" s="37" t="s">
        <v>64</v>
      </c>
      <c r="L14" s="60" t="s">
        <v>103</v>
      </c>
      <c r="M14" s="37" t="s">
        <v>64</v>
      </c>
      <c r="N14" s="36" t="s">
        <v>63</v>
      </c>
      <c r="O14" s="49"/>
      <c r="P14" s="39" t="s">
        <v>89</v>
      </c>
      <c r="Q14" s="36" t="s">
        <v>109</v>
      </c>
      <c r="R14" s="36">
        <v>2005.0</v>
      </c>
      <c r="S14" s="50" t="s">
        <v>70</v>
      </c>
      <c r="T14" s="36" t="s">
        <v>67</v>
      </c>
      <c r="U14" s="36" t="s">
        <v>67</v>
      </c>
      <c r="V14" s="40" t="s">
        <v>66</v>
      </c>
      <c r="W14" s="40" t="s">
        <v>66</v>
      </c>
      <c r="X14" s="41" t="s">
        <v>67</v>
      </c>
      <c r="Y14" s="40" t="s">
        <v>66</v>
      </c>
      <c r="Z14" s="40" t="s">
        <v>66</v>
      </c>
      <c r="AA14" s="36" t="s">
        <v>67</v>
      </c>
      <c r="AB14" s="36" t="s">
        <v>67</v>
      </c>
      <c r="AC14" s="36" t="s">
        <v>67</v>
      </c>
      <c r="AD14" s="45" t="s">
        <v>70</v>
      </c>
      <c r="AE14" s="45" t="s">
        <v>70</v>
      </c>
      <c r="AF14" s="62" t="s">
        <v>110</v>
      </c>
      <c r="AG14" s="37" t="s">
        <v>111</v>
      </c>
      <c r="AH14" s="45" t="s">
        <v>70</v>
      </c>
      <c r="AI14" s="36" t="s">
        <v>67</v>
      </c>
      <c r="AJ14" s="45" t="s">
        <v>70</v>
      </c>
      <c r="AK14" s="43" t="s">
        <v>93</v>
      </c>
      <c r="AL14" s="45" t="s">
        <v>70</v>
      </c>
      <c r="AM14" s="41" t="s">
        <v>67</v>
      </c>
      <c r="AN14" s="45" t="s">
        <v>70</v>
      </c>
      <c r="AO14" s="45" t="s">
        <v>70</v>
      </c>
      <c r="AP14" s="45" t="s">
        <v>70</v>
      </c>
      <c r="AQ14" s="40" t="s">
        <v>66</v>
      </c>
      <c r="AR14" s="45" t="s">
        <v>70</v>
      </c>
      <c r="AS14" s="41" t="s">
        <v>67</v>
      </c>
      <c r="AT14" s="36" t="s">
        <v>112</v>
      </c>
      <c r="AU14" s="40" t="s">
        <v>66</v>
      </c>
      <c r="AV14" s="50" t="s">
        <v>70</v>
      </c>
      <c r="AW14" s="45" t="s">
        <v>70</v>
      </c>
      <c r="AX14" s="45" t="s">
        <v>70</v>
      </c>
      <c r="AY14" s="45" t="s">
        <v>70</v>
      </c>
      <c r="AZ14" s="30"/>
      <c r="BA14" s="1">
        <v>2019.07</v>
      </c>
    </row>
    <row r="15">
      <c r="A15" s="1" t="s">
        <v>113</v>
      </c>
      <c r="B15" s="48" t="s">
        <v>114</v>
      </c>
      <c r="C15" s="1" t="s">
        <v>61</v>
      </c>
      <c r="D15" s="63" t="s">
        <v>66</v>
      </c>
      <c r="E15" s="64" t="s">
        <v>66</v>
      </c>
      <c r="F15" s="64" t="s">
        <v>66</v>
      </c>
      <c r="G15" s="65" t="s">
        <v>66</v>
      </c>
      <c r="H15" s="37" t="s">
        <v>64</v>
      </c>
      <c r="I15" s="36" t="s">
        <v>63</v>
      </c>
      <c r="J15" s="36" t="s">
        <v>63</v>
      </c>
      <c r="K15" s="36" t="s">
        <v>63</v>
      </c>
      <c r="L15" s="37" t="s">
        <v>64</v>
      </c>
      <c r="M15" s="37" t="s">
        <v>64</v>
      </c>
      <c r="N15" s="37" t="s">
        <v>64</v>
      </c>
      <c r="O15" s="49"/>
      <c r="P15" s="39" t="s">
        <v>89</v>
      </c>
      <c r="Q15" s="36" t="s">
        <v>115</v>
      </c>
      <c r="R15" s="37">
        <v>2017.0</v>
      </c>
      <c r="S15" s="39" t="s">
        <v>66</v>
      </c>
      <c r="T15" s="36" t="s">
        <v>67</v>
      </c>
      <c r="U15" s="36" t="s">
        <v>67</v>
      </c>
      <c r="V15" s="40" t="s">
        <v>66</v>
      </c>
      <c r="W15" s="40" t="s">
        <v>66</v>
      </c>
      <c r="X15" s="41" t="s">
        <v>67</v>
      </c>
      <c r="Y15" s="40" t="s">
        <v>66</v>
      </c>
      <c r="Z15" s="40" t="s">
        <v>66</v>
      </c>
      <c r="AA15" s="36" t="s">
        <v>67</v>
      </c>
      <c r="AB15" s="36" t="s">
        <v>67</v>
      </c>
      <c r="AC15" s="40" t="s">
        <v>66</v>
      </c>
      <c r="AD15" s="40" t="s">
        <v>66</v>
      </c>
      <c r="AE15" s="42" t="s">
        <v>66</v>
      </c>
      <c r="AF15" s="62" t="s">
        <v>110</v>
      </c>
      <c r="AG15" s="36" t="s">
        <v>116</v>
      </c>
      <c r="AH15" s="36" t="s">
        <v>67</v>
      </c>
      <c r="AI15" s="36" t="s">
        <v>67</v>
      </c>
      <c r="AJ15" s="36" t="s">
        <v>67</v>
      </c>
      <c r="AK15" s="51" t="s">
        <v>117</v>
      </c>
      <c r="AL15" s="40" t="s">
        <v>66</v>
      </c>
      <c r="AM15" s="41" t="s">
        <v>67</v>
      </c>
      <c r="AN15" s="40" t="s">
        <v>66</v>
      </c>
      <c r="AO15" s="45" t="s">
        <v>70</v>
      </c>
      <c r="AP15" s="40" t="s">
        <v>66</v>
      </c>
      <c r="AQ15" s="40" t="s">
        <v>66</v>
      </c>
      <c r="AR15" s="45" t="s">
        <v>70</v>
      </c>
      <c r="AS15" s="41" t="s">
        <v>67</v>
      </c>
      <c r="AT15" s="37" t="s">
        <v>118</v>
      </c>
      <c r="AU15" s="40" t="s">
        <v>66</v>
      </c>
      <c r="AV15" s="39" t="s">
        <v>66</v>
      </c>
      <c r="AW15" s="45" t="s">
        <v>70</v>
      </c>
      <c r="AX15" s="45" t="s">
        <v>70</v>
      </c>
      <c r="AY15" s="45" t="s">
        <v>70</v>
      </c>
      <c r="AZ15" s="14"/>
      <c r="BA15" s="1">
        <v>2019.07</v>
      </c>
      <c r="BB15" s="1" t="s">
        <v>75</v>
      </c>
    </row>
    <row r="16">
      <c r="A16" s="1" t="s">
        <v>119</v>
      </c>
      <c r="B16" s="48" t="s">
        <v>120</v>
      </c>
      <c r="C16" s="1" t="s">
        <v>61</v>
      </c>
      <c r="D16" s="32">
        <v>150.0</v>
      </c>
      <c r="E16" s="33">
        <v>25.0</v>
      </c>
      <c r="F16" s="34">
        <f>D16+E16*12*10</f>
        <v>3150</v>
      </c>
      <c r="G16" s="33">
        <v>0.0</v>
      </c>
      <c r="H16" s="35" t="s">
        <v>62</v>
      </c>
      <c r="I16" s="36" t="s">
        <v>63</v>
      </c>
      <c r="J16" s="36" t="s">
        <v>63</v>
      </c>
      <c r="K16" s="37" t="s">
        <v>64</v>
      </c>
      <c r="L16" s="36" t="s">
        <v>63</v>
      </c>
      <c r="M16" s="36" t="s">
        <v>63</v>
      </c>
      <c r="N16" s="36" t="s">
        <v>63</v>
      </c>
      <c r="O16" s="49"/>
      <c r="P16" s="39" t="s">
        <v>65</v>
      </c>
      <c r="Q16" s="40" t="s">
        <v>66</v>
      </c>
      <c r="R16" s="36">
        <v>2004.0</v>
      </c>
      <c r="S16" s="41" t="s">
        <v>67</v>
      </c>
      <c r="T16" s="36" t="s">
        <v>121</v>
      </c>
      <c r="U16" s="36" t="s">
        <v>67</v>
      </c>
      <c r="V16" s="36" t="s">
        <v>68</v>
      </c>
      <c r="W16" s="40" t="s">
        <v>66</v>
      </c>
      <c r="X16" s="41" t="s">
        <v>67</v>
      </c>
      <c r="Y16" s="40" t="s">
        <v>66</v>
      </c>
      <c r="Z16" s="36" t="s">
        <v>67</v>
      </c>
      <c r="AA16" s="36" t="s">
        <v>67</v>
      </c>
      <c r="AB16" s="45" t="s">
        <v>122</v>
      </c>
      <c r="AC16" s="36" t="s">
        <v>67</v>
      </c>
      <c r="AD16" s="36" t="s">
        <v>67</v>
      </c>
      <c r="AE16" s="42" t="s">
        <v>66</v>
      </c>
      <c r="AF16" s="43">
        <v>0.83</v>
      </c>
      <c r="AG16" s="37" t="s">
        <v>123</v>
      </c>
      <c r="AH16" s="45" t="s">
        <v>124</v>
      </c>
      <c r="AI16" s="40" t="s">
        <v>66</v>
      </c>
      <c r="AJ16" s="36" t="s">
        <v>67</v>
      </c>
      <c r="AK16" s="46" t="s">
        <v>125</v>
      </c>
      <c r="AL16" s="36" t="s">
        <v>67</v>
      </c>
      <c r="AM16" s="41" t="s">
        <v>67</v>
      </c>
      <c r="AN16" s="36" t="s">
        <v>67</v>
      </c>
      <c r="AO16" s="45" t="s">
        <v>70</v>
      </c>
      <c r="AP16" s="36" t="s">
        <v>126</v>
      </c>
      <c r="AQ16" s="58" t="s">
        <v>127</v>
      </c>
      <c r="AR16" s="45" t="s">
        <v>70</v>
      </c>
      <c r="AS16" s="41" t="s">
        <v>128</v>
      </c>
      <c r="AT16" s="37" t="s">
        <v>129</v>
      </c>
      <c r="AU16" s="37" t="s">
        <v>129</v>
      </c>
      <c r="AV16" s="41" t="s">
        <v>67</v>
      </c>
      <c r="AW16" s="36" t="s">
        <v>67</v>
      </c>
      <c r="AX16" s="45" t="s">
        <v>70</v>
      </c>
      <c r="AY16" s="45" t="s">
        <v>70</v>
      </c>
      <c r="AZ16" s="14"/>
      <c r="BA16" s="1">
        <v>2019.08</v>
      </c>
      <c r="BB16" s="1" t="s">
        <v>75</v>
      </c>
    </row>
    <row r="17">
      <c r="A17" s="1" t="s">
        <v>130</v>
      </c>
      <c r="B17" s="48" t="s">
        <v>131</v>
      </c>
      <c r="C17" s="1" t="s">
        <v>61</v>
      </c>
      <c r="D17" s="63" t="s">
        <v>66</v>
      </c>
      <c r="E17" s="64" t="s">
        <v>66</v>
      </c>
      <c r="F17" s="64" t="s">
        <v>66</v>
      </c>
      <c r="G17" s="65" t="s">
        <v>66</v>
      </c>
      <c r="H17" s="41" t="s">
        <v>63</v>
      </c>
      <c r="I17" s="36" t="s">
        <v>63</v>
      </c>
      <c r="J17" s="37" t="s">
        <v>64</v>
      </c>
      <c r="K17" s="40" t="s">
        <v>66</v>
      </c>
      <c r="L17" s="36" t="s">
        <v>63</v>
      </c>
      <c r="M17" s="36" t="s">
        <v>63</v>
      </c>
      <c r="N17" s="36" t="s">
        <v>63</v>
      </c>
      <c r="O17" s="49"/>
      <c r="P17" s="39" t="s">
        <v>89</v>
      </c>
      <c r="Q17" s="40" t="s">
        <v>66</v>
      </c>
      <c r="R17" s="36">
        <v>1997.0</v>
      </c>
      <c r="S17" s="41" t="s">
        <v>67</v>
      </c>
      <c r="T17" s="36" t="s">
        <v>67</v>
      </c>
      <c r="U17" s="36" t="s">
        <v>67</v>
      </c>
      <c r="V17" s="40" t="s">
        <v>66</v>
      </c>
      <c r="W17" s="40" t="s">
        <v>66</v>
      </c>
      <c r="X17" s="41" t="s">
        <v>67</v>
      </c>
      <c r="Y17" s="36" t="s">
        <v>67</v>
      </c>
      <c r="Z17" s="36" t="s">
        <v>67</v>
      </c>
      <c r="AA17" s="37" t="s">
        <v>132</v>
      </c>
      <c r="AB17" s="36" t="s">
        <v>67</v>
      </c>
      <c r="AC17" s="45" t="s">
        <v>70</v>
      </c>
      <c r="AD17" s="37" t="s">
        <v>132</v>
      </c>
      <c r="AE17" s="42" t="s">
        <v>66</v>
      </c>
      <c r="AF17" s="66" t="s">
        <v>133</v>
      </c>
      <c r="AG17" s="37" t="s">
        <v>134</v>
      </c>
      <c r="AH17" s="36" t="s">
        <v>67</v>
      </c>
      <c r="AI17" s="36" t="s">
        <v>67</v>
      </c>
      <c r="AJ17" s="36" t="s">
        <v>67</v>
      </c>
      <c r="AK17" s="51" t="s">
        <v>117</v>
      </c>
      <c r="AL17" s="36" t="s">
        <v>67</v>
      </c>
      <c r="AM17" s="58" t="s">
        <v>135</v>
      </c>
      <c r="AN17" s="36" t="s">
        <v>67</v>
      </c>
      <c r="AO17" s="45" t="s">
        <v>70</v>
      </c>
      <c r="AP17" s="45" t="s">
        <v>70</v>
      </c>
      <c r="AQ17" s="58" t="s">
        <v>136</v>
      </c>
      <c r="AR17" s="36" t="s">
        <v>67</v>
      </c>
      <c r="AS17" s="41" t="s">
        <v>67</v>
      </c>
      <c r="AT17" s="67" t="s">
        <v>137</v>
      </c>
      <c r="AU17" s="58" t="s">
        <v>136</v>
      </c>
      <c r="AV17" s="39" t="s">
        <v>66</v>
      </c>
      <c r="AW17" s="45" t="s">
        <v>70</v>
      </c>
      <c r="AX17" s="45" t="s">
        <v>70</v>
      </c>
      <c r="AY17" s="45" t="s">
        <v>70</v>
      </c>
      <c r="AZ17" s="30"/>
      <c r="BA17" s="1">
        <v>2019.07</v>
      </c>
    </row>
    <row r="18">
      <c r="D18" s="68"/>
      <c r="E18" s="34"/>
      <c r="F18" s="34"/>
      <c r="G18" s="34"/>
      <c r="H18" s="69"/>
      <c r="O18" s="49"/>
      <c r="S18" s="69"/>
      <c r="X18" s="69"/>
      <c r="AF18" s="69"/>
      <c r="AK18" s="69"/>
      <c r="AM18" s="69"/>
      <c r="AS18" s="69"/>
      <c r="AV18" s="69"/>
      <c r="AZ18" s="30"/>
    </row>
    <row r="19">
      <c r="A19" s="21" t="s">
        <v>138</v>
      </c>
      <c r="B19" s="25"/>
      <c r="C19" s="25"/>
      <c r="D19" s="70"/>
      <c r="E19" s="71"/>
      <c r="F19" s="71"/>
      <c r="G19" s="71"/>
      <c r="H19" s="72"/>
      <c r="I19" s="25"/>
      <c r="J19" s="25"/>
      <c r="K19" s="25"/>
      <c r="L19" s="25"/>
      <c r="M19" s="25"/>
      <c r="N19" s="25"/>
      <c r="O19" s="23"/>
      <c r="P19" s="25"/>
      <c r="Q19" s="25"/>
      <c r="R19" s="25"/>
      <c r="S19" s="72"/>
      <c r="T19" s="25"/>
      <c r="U19" s="25"/>
      <c r="V19" s="25"/>
      <c r="W19" s="25"/>
      <c r="X19" s="72"/>
      <c r="Y19" s="25"/>
      <c r="Z19" s="25"/>
      <c r="AA19" s="25"/>
      <c r="AB19" s="25"/>
      <c r="AC19" s="25"/>
      <c r="AD19" s="25"/>
      <c r="AE19" s="25"/>
      <c r="AF19" s="72"/>
      <c r="AG19" s="25"/>
      <c r="AH19" s="25"/>
      <c r="AI19" s="25"/>
      <c r="AJ19" s="25"/>
      <c r="AK19" s="72"/>
      <c r="AL19" s="21"/>
      <c r="AM19" s="72"/>
      <c r="AN19" s="25"/>
      <c r="AO19" s="25"/>
      <c r="AP19" s="25"/>
      <c r="AQ19" s="25"/>
      <c r="AR19" s="25"/>
      <c r="AS19" s="72"/>
      <c r="AT19" s="25"/>
      <c r="AU19" s="25"/>
      <c r="AV19" s="72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/>
    </row>
    <row r="20">
      <c r="D20" s="68"/>
      <c r="E20" s="34"/>
      <c r="F20" s="34"/>
      <c r="G20" s="34"/>
      <c r="H20" s="69"/>
      <c r="O20" s="38"/>
      <c r="S20" s="69"/>
      <c r="X20" s="69"/>
      <c r="AF20" s="69"/>
      <c r="AK20" s="69"/>
      <c r="AM20" s="69"/>
      <c r="AS20" s="69"/>
      <c r="AV20" s="69"/>
      <c r="AZ20" s="30"/>
    </row>
    <row r="21">
      <c r="A21" s="1" t="s">
        <v>139</v>
      </c>
      <c r="B21" s="48" t="s">
        <v>140</v>
      </c>
      <c r="C21" s="27" t="s">
        <v>141</v>
      </c>
      <c r="D21" s="32">
        <v>0.0</v>
      </c>
      <c r="E21" s="33">
        <v>4.0</v>
      </c>
      <c r="F21" s="34">
        <f t="shared" ref="F21:F27" si="3">D21+E21*12*10</f>
        <v>480</v>
      </c>
      <c r="G21" s="73" t="s">
        <v>66</v>
      </c>
      <c r="H21" s="41" t="s">
        <v>63</v>
      </c>
      <c r="I21" s="36" t="s">
        <v>63</v>
      </c>
      <c r="J21" s="36" t="s">
        <v>63</v>
      </c>
      <c r="K21" s="40" t="s">
        <v>142</v>
      </c>
      <c r="L21" s="60" t="s">
        <v>103</v>
      </c>
      <c r="M21" s="60" t="s">
        <v>103</v>
      </c>
      <c r="N21" s="36" t="s">
        <v>63</v>
      </c>
      <c r="O21" s="49"/>
      <c r="P21" s="69"/>
      <c r="Q21" s="36" t="s">
        <v>98</v>
      </c>
      <c r="R21" s="36">
        <v>2012.0</v>
      </c>
      <c r="S21" s="39" t="s">
        <v>66</v>
      </c>
      <c r="T21" s="36" t="s">
        <v>143</v>
      </c>
      <c r="U21" s="36" t="s">
        <v>67</v>
      </c>
      <c r="V21" s="40" t="s">
        <v>66</v>
      </c>
      <c r="W21" s="40" t="s">
        <v>66</v>
      </c>
      <c r="X21" s="41" t="s">
        <v>67</v>
      </c>
      <c r="Y21" s="36" t="s">
        <v>144</v>
      </c>
      <c r="Z21" s="36" t="s">
        <v>145</v>
      </c>
      <c r="AA21" s="36" t="s">
        <v>67</v>
      </c>
      <c r="AB21" s="36" t="s">
        <v>143</v>
      </c>
      <c r="AC21" s="36" t="s">
        <v>67</v>
      </c>
      <c r="AD21" s="36" t="s">
        <v>67</v>
      </c>
      <c r="AE21" s="36" t="s">
        <v>67</v>
      </c>
      <c r="AF21" s="39" t="s">
        <v>146</v>
      </c>
      <c r="AG21" s="40" t="s">
        <v>147</v>
      </c>
      <c r="AH21" s="40" t="s">
        <v>147</v>
      </c>
      <c r="AI21" s="40" t="s">
        <v>147</v>
      </c>
      <c r="AJ21" s="36" t="s">
        <v>67</v>
      </c>
      <c r="AK21" s="51" t="s">
        <v>117</v>
      </c>
      <c r="AL21" s="45" t="s">
        <v>70</v>
      </c>
      <c r="AM21" s="50" t="s">
        <v>70</v>
      </c>
      <c r="AN21" s="45" t="s">
        <v>70</v>
      </c>
      <c r="AO21" s="45" t="s">
        <v>70</v>
      </c>
      <c r="AP21" s="40" t="s">
        <v>66</v>
      </c>
      <c r="AQ21" s="40" t="s">
        <v>66</v>
      </c>
      <c r="AR21" s="45" t="s">
        <v>70</v>
      </c>
      <c r="AS21" s="41" t="s">
        <v>128</v>
      </c>
      <c r="AT21" s="37" t="s">
        <v>129</v>
      </c>
      <c r="AU21" s="40" t="s">
        <v>66</v>
      </c>
      <c r="AV21" s="41" t="s">
        <v>67</v>
      </c>
      <c r="AW21" s="37" t="s">
        <v>148</v>
      </c>
      <c r="AX21" s="37" t="s">
        <v>148</v>
      </c>
      <c r="AY21" s="45" t="s">
        <v>70</v>
      </c>
      <c r="AZ21" s="14"/>
      <c r="BA21" s="1">
        <v>2019.07</v>
      </c>
      <c r="BB21" s="1" t="s">
        <v>149</v>
      </c>
    </row>
    <row r="22">
      <c r="A22" s="1" t="s">
        <v>150</v>
      </c>
      <c r="B22" s="48" t="s">
        <v>151</v>
      </c>
      <c r="C22" s="27" t="s">
        <v>152</v>
      </c>
      <c r="D22" s="32">
        <v>155.0</v>
      </c>
      <c r="E22" s="33">
        <v>7.0</v>
      </c>
      <c r="F22" s="34">
        <f t="shared" si="3"/>
        <v>995</v>
      </c>
      <c r="G22" s="74" t="s">
        <v>142</v>
      </c>
      <c r="H22" s="51" t="s">
        <v>64</v>
      </c>
      <c r="I22" s="36" t="s">
        <v>63</v>
      </c>
      <c r="J22" s="60" t="s">
        <v>103</v>
      </c>
      <c r="K22" s="36" t="s">
        <v>63</v>
      </c>
      <c r="L22" s="37" t="s">
        <v>64</v>
      </c>
      <c r="M22" s="37" t="s">
        <v>64</v>
      </c>
      <c r="N22" s="36" t="s">
        <v>63</v>
      </c>
      <c r="O22" s="49"/>
      <c r="P22" s="39" t="s">
        <v>89</v>
      </c>
      <c r="Q22" s="40" t="s">
        <v>66</v>
      </c>
      <c r="R22" s="36">
        <v>2014.0</v>
      </c>
      <c r="S22" s="39" t="s">
        <v>66</v>
      </c>
      <c r="T22" s="36" t="s">
        <v>67</v>
      </c>
      <c r="U22" s="36" t="s">
        <v>67</v>
      </c>
      <c r="V22" s="40" t="s">
        <v>66</v>
      </c>
      <c r="W22" s="40" t="s">
        <v>66</v>
      </c>
      <c r="X22" s="39" t="s">
        <v>66</v>
      </c>
      <c r="Y22" s="36" t="s">
        <v>67</v>
      </c>
      <c r="Z22" s="40" t="s">
        <v>66</v>
      </c>
      <c r="AA22" s="45" t="s">
        <v>70</v>
      </c>
      <c r="AB22" s="36" t="s">
        <v>67</v>
      </c>
      <c r="AC22" s="36" t="s">
        <v>67</v>
      </c>
      <c r="AD22" s="36" t="s">
        <v>67</v>
      </c>
      <c r="AE22" s="36" t="s">
        <v>67</v>
      </c>
      <c r="AF22" s="62" t="s">
        <v>153</v>
      </c>
      <c r="AG22" s="37" t="s">
        <v>154</v>
      </c>
      <c r="AH22" s="37" t="s">
        <v>155</v>
      </c>
      <c r="AI22" s="36" t="s">
        <v>67</v>
      </c>
      <c r="AJ22" s="36" t="s">
        <v>67</v>
      </c>
      <c r="AK22" s="51" t="s">
        <v>117</v>
      </c>
      <c r="AL22" s="45" t="s">
        <v>70</v>
      </c>
      <c r="AM22" s="41" t="s">
        <v>67</v>
      </c>
      <c r="AN22" s="40" t="s">
        <v>66</v>
      </c>
      <c r="AO22" s="45" t="s">
        <v>70</v>
      </c>
      <c r="AP22" s="45" t="s">
        <v>70</v>
      </c>
      <c r="AQ22" s="36" t="s">
        <v>156</v>
      </c>
      <c r="AR22" s="45" t="s">
        <v>70</v>
      </c>
      <c r="AS22" s="41" t="s">
        <v>67</v>
      </c>
      <c r="AT22" s="45" t="s">
        <v>70</v>
      </c>
      <c r="AU22" s="36" t="s">
        <v>156</v>
      </c>
      <c r="AV22" s="50" t="s">
        <v>70</v>
      </c>
      <c r="AW22" s="45" t="s">
        <v>70</v>
      </c>
      <c r="AX22" s="45" t="s">
        <v>70</v>
      </c>
      <c r="AY22" s="45" t="s">
        <v>70</v>
      </c>
      <c r="AZ22" s="30"/>
      <c r="BA22" s="1">
        <v>2019.07</v>
      </c>
    </row>
    <row r="23">
      <c r="A23" s="1" t="s">
        <v>157</v>
      </c>
      <c r="B23" s="48" t="s">
        <v>158</v>
      </c>
      <c r="C23" s="27" t="s">
        <v>159</v>
      </c>
      <c r="D23" s="32">
        <v>270.0</v>
      </c>
      <c r="E23" s="33">
        <v>0.0</v>
      </c>
      <c r="F23" s="34">
        <f t="shared" si="3"/>
        <v>270</v>
      </c>
      <c r="G23" s="73" t="s">
        <v>160</v>
      </c>
      <c r="H23" s="51" t="s">
        <v>64</v>
      </c>
      <c r="I23" s="37" t="s">
        <v>64</v>
      </c>
      <c r="J23" s="37" t="s">
        <v>64</v>
      </c>
      <c r="K23" s="36" t="s">
        <v>63</v>
      </c>
      <c r="L23" s="37" t="s">
        <v>64</v>
      </c>
      <c r="M23" s="36" t="s">
        <v>63</v>
      </c>
      <c r="N23" s="36" t="s">
        <v>63</v>
      </c>
      <c r="O23" s="38"/>
      <c r="P23" s="43" t="s">
        <v>161</v>
      </c>
      <c r="Q23" s="36" t="s">
        <v>98</v>
      </c>
      <c r="R23" s="37">
        <v>2017.0</v>
      </c>
      <c r="S23" s="41" t="s">
        <v>67</v>
      </c>
      <c r="T23" s="36" t="s">
        <v>67</v>
      </c>
      <c r="U23" s="36" t="s">
        <v>67</v>
      </c>
      <c r="V23" s="75" t="s">
        <v>162</v>
      </c>
      <c r="X23" s="50" t="s">
        <v>70</v>
      </c>
      <c r="Y23" s="37" t="s">
        <v>163</v>
      </c>
      <c r="Z23" s="45" t="s">
        <v>70</v>
      </c>
      <c r="AA23" s="37" t="s">
        <v>164</v>
      </c>
      <c r="AB23" s="36" t="s">
        <v>165</v>
      </c>
      <c r="AC23" s="36" t="s">
        <v>67</v>
      </c>
      <c r="AD23" s="36" t="s">
        <v>67</v>
      </c>
      <c r="AE23" s="36" t="s">
        <v>67</v>
      </c>
      <c r="AF23" s="43">
        <v>0.75</v>
      </c>
      <c r="AG23" s="36" t="s">
        <v>166</v>
      </c>
      <c r="AH23" s="36" t="s">
        <v>67</v>
      </c>
      <c r="AI23" s="36" t="s">
        <v>67</v>
      </c>
      <c r="AJ23" s="36" t="s">
        <v>67</v>
      </c>
      <c r="AK23" s="41" t="s">
        <v>167</v>
      </c>
      <c r="AL23" s="45" t="s">
        <v>70</v>
      </c>
      <c r="AM23" s="39" t="s">
        <v>168</v>
      </c>
      <c r="AN23" s="40" t="s">
        <v>168</v>
      </c>
      <c r="AO23" s="36" t="s">
        <v>169</v>
      </c>
      <c r="AP23" s="37" t="s">
        <v>170</v>
      </c>
      <c r="AQ23" s="45" t="s">
        <v>171</v>
      </c>
      <c r="AR23" s="45" t="s">
        <v>70</v>
      </c>
      <c r="AS23" s="41" t="s">
        <v>67</v>
      </c>
      <c r="AT23" s="37" t="s">
        <v>172</v>
      </c>
      <c r="AU23" s="37" t="s">
        <v>173</v>
      </c>
      <c r="AV23" s="50" t="s">
        <v>70</v>
      </c>
      <c r="AW23" s="37" t="s">
        <v>148</v>
      </c>
      <c r="AX23" s="45" t="s">
        <v>70</v>
      </c>
      <c r="AY23" s="45" t="s">
        <v>70</v>
      </c>
      <c r="AZ23" s="14"/>
      <c r="BA23" s="1">
        <v>2019.07</v>
      </c>
      <c r="BB23" s="1"/>
      <c r="BC23" s="11"/>
      <c r="BD23" s="11"/>
      <c r="BE23" s="11"/>
      <c r="BG23" s="11"/>
      <c r="BH23" s="11"/>
    </row>
    <row r="24">
      <c r="A24" s="1" t="s">
        <v>174</v>
      </c>
      <c r="B24" s="48" t="s">
        <v>175</v>
      </c>
      <c r="C24" s="76" t="s">
        <v>176</v>
      </c>
      <c r="D24" s="77">
        <v>15700.0</v>
      </c>
      <c r="E24" s="33">
        <v>0.0</v>
      </c>
      <c r="F24" s="34">
        <f t="shared" si="3"/>
        <v>15700</v>
      </c>
      <c r="G24" s="78" t="s">
        <v>177</v>
      </c>
      <c r="H24" s="41" t="s">
        <v>63</v>
      </c>
      <c r="I24" s="60" t="s">
        <v>103</v>
      </c>
      <c r="J24" s="37" t="s">
        <v>64</v>
      </c>
      <c r="K24" s="36" t="s">
        <v>63</v>
      </c>
      <c r="L24" s="36" t="s">
        <v>63</v>
      </c>
      <c r="M24" s="60" t="s">
        <v>103</v>
      </c>
      <c r="N24" s="60" t="s">
        <v>103</v>
      </c>
      <c r="O24" s="38"/>
      <c r="P24" s="39" t="s">
        <v>89</v>
      </c>
      <c r="Q24" s="36" t="s">
        <v>178</v>
      </c>
      <c r="R24" s="36">
        <v>1995.0</v>
      </c>
      <c r="S24" s="50" t="s">
        <v>70</v>
      </c>
      <c r="T24" s="45" t="s">
        <v>70</v>
      </c>
      <c r="U24" s="36" t="s">
        <v>67</v>
      </c>
      <c r="V24" s="40" t="s">
        <v>66</v>
      </c>
      <c r="W24" s="40" t="s">
        <v>66</v>
      </c>
      <c r="X24" s="50" t="s">
        <v>70</v>
      </c>
      <c r="Y24" s="45" t="s">
        <v>70</v>
      </c>
      <c r="Z24" s="40" t="s">
        <v>179</v>
      </c>
      <c r="AA24" s="37" t="s">
        <v>180</v>
      </c>
      <c r="AB24" s="58" t="s">
        <v>181</v>
      </c>
      <c r="AC24" s="36" t="s">
        <v>67</v>
      </c>
      <c r="AD24" s="36" t="s">
        <v>67</v>
      </c>
      <c r="AE24" s="36" t="s">
        <v>67</v>
      </c>
      <c r="AF24" s="79" t="s">
        <v>182</v>
      </c>
      <c r="AG24" s="37" t="s">
        <v>183</v>
      </c>
      <c r="AH24" s="36" t="s">
        <v>67</v>
      </c>
      <c r="AI24" s="36" t="s">
        <v>67</v>
      </c>
      <c r="AJ24" s="36" t="s">
        <v>67</v>
      </c>
      <c r="AK24" s="80" t="s">
        <v>184</v>
      </c>
      <c r="AL24" s="45" t="s">
        <v>70</v>
      </c>
      <c r="AM24" s="50" t="s">
        <v>70</v>
      </c>
      <c r="AN24" s="45" t="s">
        <v>70</v>
      </c>
      <c r="AO24" s="45" t="s">
        <v>70</v>
      </c>
      <c r="AP24" s="45" t="s">
        <v>70</v>
      </c>
      <c r="AQ24" s="45" t="s">
        <v>185</v>
      </c>
      <c r="AR24" s="45" t="s">
        <v>70</v>
      </c>
      <c r="AS24" s="41" t="s">
        <v>67</v>
      </c>
      <c r="AT24" s="45" t="s">
        <v>70</v>
      </c>
      <c r="AU24" s="45" t="s">
        <v>185</v>
      </c>
      <c r="AV24" s="50" t="s">
        <v>70</v>
      </c>
      <c r="AW24" s="45" t="s">
        <v>70</v>
      </c>
      <c r="AX24" s="36" t="s">
        <v>67</v>
      </c>
      <c r="AY24" s="45" t="s">
        <v>70</v>
      </c>
      <c r="AZ24" s="14"/>
      <c r="BA24" s="1">
        <v>2019.07</v>
      </c>
      <c r="BB24" s="1"/>
    </row>
    <row r="25">
      <c r="A25" s="1" t="s">
        <v>186</v>
      </c>
      <c r="B25" s="48" t="s">
        <v>187</v>
      </c>
      <c r="C25" s="27" t="s">
        <v>188</v>
      </c>
      <c r="D25" s="32">
        <v>0.0</v>
      </c>
      <c r="E25" s="33">
        <v>24.0</v>
      </c>
      <c r="F25" s="34">
        <f t="shared" si="3"/>
        <v>2880</v>
      </c>
      <c r="G25" s="33">
        <v>0.0</v>
      </c>
      <c r="H25" s="51" t="s">
        <v>64</v>
      </c>
      <c r="I25" s="36" t="s">
        <v>63</v>
      </c>
      <c r="J25" s="37" t="s">
        <v>64</v>
      </c>
      <c r="K25" s="36" t="s">
        <v>63</v>
      </c>
      <c r="L25" s="36" t="s">
        <v>63</v>
      </c>
      <c r="M25" s="60" t="s">
        <v>103</v>
      </c>
      <c r="N25" s="37" t="s">
        <v>64</v>
      </c>
      <c r="O25" s="38"/>
      <c r="P25" s="39" t="s">
        <v>89</v>
      </c>
      <c r="Q25" s="37" t="s">
        <v>189</v>
      </c>
      <c r="R25" s="37">
        <v>2017.0</v>
      </c>
      <c r="S25" s="50" t="s">
        <v>70</v>
      </c>
      <c r="T25" s="36" t="s">
        <v>67</v>
      </c>
      <c r="U25" s="36" t="s">
        <v>67</v>
      </c>
      <c r="V25" s="40" t="s">
        <v>66</v>
      </c>
      <c r="W25" s="40" t="s">
        <v>66</v>
      </c>
      <c r="X25" s="39" t="s">
        <v>66</v>
      </c>
      <c r="Y25" s="40" t="s">
        <v>66</v>
      </c>
      <c r="Z25" s="45" t="s">
        <v>70</v>
      </c>
      <c r="AA25" s="36" t="s">
        <v>67</v>
      </c>
      <c r="AB25" s="45" t="s">
        <v>122</v>
      </c>
      <c r="AC25" s="36" t="s">
        <v>67</v>
      </c>
      <c r="AD25" s="45" t="s">
        <v>70</v>
      </c>
      <c r="AE25" s="45" t="s">
        <v>70</v>
      </c>
      <c r="AF25" s="62" t="s">
        <v>153</v>
      </c>
      <c r="AG25" s="36" t="s">
        <v>190</v>
      </c>
      <c r="AH25" s="36" t="s">
        <v>67</v>
      </c>
      <c r="AI25" s="45" t="s">
        <v>70</v>
      </c>
      <c r="AJ25" s="36" t="s">
        <v>67</v>
      </c>
      <c r="AK25" s="80" t="s">
        <v>191</v>
      </c>
      <c r="AL25" s="45" t="s">
        <v>70</v>
      </c>
      <c r="AM25" s="50" t="s">
        <v>70</v>
      </c>
      <c r="AN25" s="45" t="s">
        <v>70</v>
      </c>
      <c r="AO25" s="45" t="s">
        <v>70</v>
      </c>
      <c r="AP25" s="45" t="s">
        <v>70</v>
      </c>
      <c r="AQ25" s="40" t="s">
        <v>66</v>
      </c>
      <c r="AR25" s="45" t="s">
        <v>70</v>
      </c>
      <c r="AS25" s="51" t="s">
        <v>192</v>
      </c>
      <c r="AT25" s="37" t="s">
        <v>129</v>
      </c>
      <c r="AU25" s="40" t="s">
        <v>66</v>
      </c>
      <c r="AV25" s="50" t="s">
        <v>70</v>
      </c>
      <c r="AW25" s="36" t="s">
        <v>67</v>
      </c>
      <c r="AX25" s="45" t="s">
        <v>70</v>
      </c>
      <c r="AY25" s="45" t="s">
        <v>70</v>
      </c>
      <c r="AZ25" s="14"/>
      <c r="BA25" s="1">
        <v>2019.07</v>
      </c>
      <c r="BB25" s="1"/>
    </row>
    <row r="26">
      <c r="A26" s="1" t="s">
        <v>193</v>
      </c>
      <c r="B26" s="48" t="s">
        <v>194</v>
      </c>
      <c r="C26" s="1" t="s">
        <v>78</v>
      </c>
      <c r="D26" s="28">
        <v>0.0</v>
      </c>
      <c r="E26" s="33">
        <v>50.0</v>
      </c>
      <c r="F26" s="34">
        <f t="shared" si="3"/>
        <v>6000</v>
      </c>
      <c r="G26" s="1">
        <v>0.0</v>
      </c>
      <c r="H26" s="41" t="s">
        <v>63</v>
      </c>
      <c r="I26" s="36" t="s">
        <v>63</v>
      </c>
      <c r="J26" s="37" t="s">
        <v>64</v>
      </c>
      <c r="K26" s="37" t="s">
        <v>64</v>
      </c>
      <c r="L26" s="60" t="s">
        <v>103</v>
      </c>
      <c r="M26" s="37" t="s">
        <v>64</v>
      </c>
      <c r="N26" s="36" t="s">
        <v>63</v>
      </c>
      <c r="O26" s="12"/>
      <c r="P26" s="39" t="s">
        <v>89</v>
      </c>
      <c r="Q26" s="40" t="s">
        <v>89</v>
      </c>
      <c r="R26" s="36">
        <v>2011.0</v>
      </c>
      <c r="S26" s="50" t="s">
        <v>70</v>
      </c>
      <c r="T26" s="36" t="s">
        <v>67</v>
      </c>
      <c r="U26" s="36" t="s">
        <v>67</v>
      </c>
      <c r="V26" s="40" t="s">
        <v>66</v>
      </c>
      <c r="W26" s="40" t="s">
        <v>66</v>
      </c>
      <c r="X26" s="50" t="s">
        <v>70</v>
      </c>
      <c r="Y26" s="45" t="s">
        <v>70</v>
      </c>
      <c r="Z26" s="40" t="s">
        <v>66</v>
      </c>
      <c r="AA26" s="36" t="s">
        <v>67</v>
      </c>
      <c r="AB26" s="36" t="s">
        <v>67</v>
      </c>
      <c r="AC26" s="36" t="s">
        <v>67</v>
      </c>
      <c r="AD26" s="45" t="s">
        <v>70</v>
      </c>
      <c r="AE26" s="45" t="s">
        <v>70</v>
      </c>
      <c r="AF26" s="66" t="s">
        <v>195</v>
      </c>
      <c r="AG26" s="37" t="s">
        <v>196</v>
      </c>
      <c r="AH26" s="45" t="s">
        <v>197</v>
      </c>
      <c r="AI26" s="40" t="s">
        <v>66</v>
      </c>
      <c r="AJ26" s="59" t="s">
        <v>70</v>
      </c>
      <c r="AK26" s="51" t="s">
        <v>117</v>
      </c>
      <c r="AL26" s="45" t="s">
        <v>70</v>
      </c>
      <c r="AM26" s="41" t="s">
        <v>67</v>
      </c>
      <c r="AN26" s="45" t="s">
        <v>70</v>
      </c>
      <c r="AO26" s="45" t="s">
        <v>70</v>
      </c>
      <c r="AP26" s="45" t="s">
        <v>70</v>
      </c>
      <c r="AQ26" s="40" t="s">
        <v>66</v>
      </c>
      <c r="AR26" s="36" t="s">
        <v>198</v>
      </c>
      <c r="AS26" s="41" t="s">
        <v>67</v>
      </c>
      <c r="AT26" s="40" t="s">
        <v>66</v>
      </c>
      <c r="AU26" s="40" t="s">
        <v>66</v>
      </c>
      <c r="AV26" s="39" t="s">
        <v>66</v>
      </c>
      <c r="AW26" s="45" t="s">
        <v>70</v>
      </c>
      <c r="AX26" s="45" t="s">
        <v>70</v>
      </c>
      <c r="AY26" s="45" t="s">
        <v>70</v>
      </c>
      <c r="AZ26" s="30"/>
      <c r="BA26" s="1">
        <v>2019.08</v>
      </c>
    </row>
    <row r="27">
      <c r="A27" s="1" t="s">
        <v>199</v>
      </c>
      <c r="B27" s="48" t="s">
        <v>200</v>
      </c>
      <c r="C27" s="1" t="s">
        <v>78</v>
      </c>
      <c r="D27" s="28">
        <v>220.0</v>
      </c>
      <c r="E27" s="33">
        <f>191/12</f>
        <v>15.91666667</v>
      </c>
      <c r="F27" s="34">
        <f t="shared" si="3"/>
        <v>2130</v>
      </c>
      <c r="G27" s="1">
        <v>0.0</v>
      </c>
      <c r="H27" s="41" t="s">
        <v>63</v>
      </c>
      <c r="I27" s="37" t="s">
        <v>64</v>
      </c>
      <c r="J27" s="37" t="s">
        <v>64</v>
      </c>
      <c r="K27" s="58" t="s">
        <v>62</v>
      </c>
      <c r="L27" s="37" t="s">
        <v>64</v>
      </c>
      <c r="M27" s="37" t="s">
        <v>64</v>
      </c>
      <c r="N27" s="60" t="s">
        <v>103</v>
      </c>
      <c r="O27" s="49"/>
      <c r="P27" s="39" t="s">
        <v>89</v>
      </c>
      <c r="Q27" s="36" t="s">
        <v>201</v>
      </c>
      <c r="R27" s="36">
        <v>2014.0</v>
      </c>
      <c r="S27" s="41" t="s">
        <v>67</v>
      </c>
      <c r="T27" s="40" t="s">
        <v>66</v>
      </c>
      <c r="U27" s="36" t="s">
        <v>67</v>
      </c>
      <c r="V27" s="40" t="s">
        <v>66</v>
      </c>
      <c r="W27" s="40" t="s">
        <v>66</v>
      </c>
      <c r="X27" s="41" t="s">
        <v>67</v>
      </c>
      <c r="Y27" s="36" t="s">
        <v>202</v>
      </c>
      <c r="Z27" s="40" t="s">
        <v>66</v>
      </c>
      <c r="AA27" s="36" t="s">
        <v>203</v>
      </c>
      <c r="AB27" s="36" t="s">
        <v>203</v>
      </c>
      <c r="AC27" s="45" t="s">
        <v>70</v>
      </c>
      <c r="AD27" s="37" t="s">
        <v>204</v>
      </c>
      <c r="AE27" s="45" t="s">
        <v>70</v>
      </c>
      <c r="AF27" s="79" t="s">
        <v>205</v>
      </c>
      <c r="AG27" s="36" t="s">
        <v>206</v>
      </c>
      <c r="AH27" s="36" t="s">
        <v>67</v>
      </c>
      <c r="AI27" s="36" t="s">
        <v>67</v>
      </c>
      <c r="AJ27" s="36" t="s">
        <v>67</v>
      </c>
      <c r="AK27" s="51" t="s">
        <v>117</v>
      </c>
      <c r="AL27" s="40" t="s">
        <v>66</v>
      </c>
      <c r="AM27" s="41" t="s">
        <v>67</v>
      </c>
      <c r="AN27" s="40" t="s">
        <v>66</v>
      </c>
      <c r="AO27" s="45" t="s">
        <v>70</v>
      </c>
      <c r="AP27" s="36" t="s">
        <v>95</v>
      </c>
      <c r="AQ27" s="40" t="s">
        <v>66</v>
      </c>
      <c r="AR27" s="36" t="s">
        <v>67</v>
      </c>
      <c r="AS27" s="50" t="s">
        <v>70</v>
      </c>
      <c r="AT27" s="45" t="s">
        <v>70</v>
      </c>
      <c r="AU27" s="40" t="s">
        <v>142</v>
      </c>
      <c r="AV27" s="39" t="s">
        <v>66</v>
      </c>
      <c r="AW27" s="37" t="s">
        <v>148</v>
      </c>
      <c r="AX27" s="45" t="s">
        <v>70</v>
      </c>
      <c r="AY27" s="45" t="s">
        <v>70</v>
      </c>
      <c r="AZ27" s="30"/>
      <c r="BA27" s="1">
        <v>2019.08</v>
      </c>
      <c r="BB27" s="1" t="s">
        <v>207</v>
      </c>
    </row>
    <row r="28">
      <c r="A28" s="1"/>
      <c r="B28" s="1"/>
      <c r="C28" s="81"/>
      <c r="D28" s="82"/>
      <c r="E28" s="83"/>
      <c r="F28" s="83"/>
      <c r="G28" s="33"/>
      <c r="H28" s="28"/>
      <c r="I28" s="1"/>
      <c r="J28" s="84"/>
      <c r="K28" s="84"/>
      <c r="L28" s="84"/>
      <c r="M28" s="84"/>
      <c r="N28" s="84"/>
      <c r="O28" s="49"/>
      <c r="P28" s="28"/>
      <c r="Q28" s="1"/>
      <c r="R28" s="1"/>
      <c r="S28" s="28"/>
      <c r="T28" s="1"/>
      <c r="U28" s="1"/>
      <c r="V28" s="85"/>
      <c r="W28" s="85"/>
      <c r="X28" s="28"/>
      <c r="Y28" s="1"/>
      <c r="Z28" s="1"/>
      <c r="AA28" s="1"/>
      <c r="AB28" s="1"/>
      <c r="AC28" s="1"/>
      <c r="AD28" s="1"/>
      <c r="AE28" s="1"/>
      <c r="AF28" s="28"/>
      <c r="AG28" s="1"/>
      <c r="AH28" s="1"/>
      <c r="AI28" s="1"/>
      <c r="AJ28" s="1"/>
      <c r="AK28" s="28"/>
      <c r="AL28" s="1"/>
      <c r="AM28" s="28"/>
      <c r="AN28" s="1"/>
      <c r="AO28" s="1"/>
      <c r="AP28" s="1"/>
      <c r="AQ28" s="1"/>
      <c r="AR28" s="1"/>
      <c r="AS28" s="28"/>
      <c r="AT28" s="1"/>
      <c r="AU28" s="1"/>
      <c r="AV28" s="28"/>
      <c r="AW28" s="1"/>
      <c r="AX28" s="1"/>
      <c r="AY28" s="1"/>
      <c r="AZ28" s="14"/>
      <c r="BA28" s="1"/>
      <c r="BB28" s="1"/>
    </row>
    <row r="29">
      <c r="A29" s="21" t="s">
        <v>208</v>
      </c>
      <c r="B29" s="21"/>
      <c r="C29" s="86"/>
      <c r="D29" s="87"/>
      <c r="E29" s="88"/>
      <c r="F29" s="88"/>
      <c r="G29" s="89"/>
      <c r="H29" s="23"/>
      <c r="I29" s="21"/>
      <c r="J29" s="90"/>
      <c r="K29" s="90"/>
      <c r="L29" s="90"/>
      <c r="M29" s="90"/>
      <c r="N29" s="90"/>
      <c r="O29" s="23"/>
      <c r="P29" s="23"/>
      <c r="Q29" s="21"/>
      <c r="R29" s="21"/>
      <c r="S29" s="23"/>
      <c r="T29" s="21"/>
      <c r="U29" s="21"/>
      <c r="V29" s="91"/>
      <c r="W29" s="91"/>
      <c r="X29" s="23"/>
      <c r="Y29" s="21"/>
      <c r="Z29" s="21"/>
      <c r="AA29" s="21"/>
      <c r="AB29" s="21"/>
      <c r="AC29" s="21"/>
      <c r="AD29" s="21"/>
      <c r="AE29" s="21"/>
      <c r="AF29" s="23"/>
      <c r="AG29" s="21"/>
      <c r="AH29" s="21"/>
      <c r="AI29" s="21"/>
      <c r="AJ29" s="21"/>
      <c r="AK29" s="23"/>
      <c r="AL29" s="21"/>
      <c r="AM29" s="23"/>
      <c r="AN29" s="21"/>
      <c r="AO29" s="21"/>
      <c r="AP29" s="21"/>
      <c r="AQ29" s="21"/>
      <c r="AR29" s="21"/>
      <c r="AS29" s="23"/>
      <c r="AT29" s="21"/>
      <c r="AU29" s="21"/>
      <c r="AV29" s="23"/>
      <c r="AW29" s="21"/>
      <c r="AX29" s="21"/>
      <c r="AY29" s="21"/>
      <c r="AZ29" s="21"/>
      <c r="BA29" s="21"/>
      <c r="BB29" s="21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5"/>
    </row>
    <row r="30">
      <c r="A30" s="1"/>
      <c r="B30" s="1"/>
      <c r="C30" s="81"/>
      <c r="D30" s="82"/>
      <c r="E30" s="83"/>
      <c r="F30" s="83"/>
      <c r="G30" s="33"/>
      <c r="H30" s="28"/>
      <c r="I30" s="1"/>
      <c r="J30" s="84"/>
      <c r="K30" s="84"/>
      <c r="L30" s="84"/>
      <c r="M30" s="84"/>
      <c r="N30" s="84"/>
      <c r="O30" s="49"/>
      <c r="P30" s="28"/>
      <c r="Q30" s="1"/>
      <c r="R30" s="1"/>
      <c r="S30" s="28"/>
      <c r="T30" s="1"/>
      <c r="U30" s="1"/>
      <c r="V30" s="85"/>
      <c r="W30" s="85"/>
      <c r="X30" s="28"/>
      <c r="Y30" s="1"/>
      <c r="Z30" s="1"/>
      <c r="AA30" s="1"/>
      <c r="AB30" s="1"/>
      <c r="AC30" s="1"/>
      <c r="AD30" s="1"/>
      <c r="AE30" s="1"/>
      <c r="AF30" s="28"/>
      <c r="AG30" s="1"/>
      <c r="AH30" s="1"/>
      <c r="AI30" s="1"/>
      <c r="AJ30" s="1"/>
      <c r="AK30" s="28"/>
      <c r="AL30" s="1"/>
      <c r="AM30" s="28"/>
      <c r="AN30" s="1"/>
      <c r="AO30" s="1"/>
      <c r="AP30" s="1"/>
      <c r="AQ30" s="1"/>
      <c r="AR30" s="1"/>
      <c r="AS30" s="28"/>
      <c r="AT30" s="1"/>
      <c r="AU30" s="1"/>
      <c r="AV30" s="28"/>
      <c r="AW30" s="1"/>
      <c r="AX30" s="1"/>
      <c r="AY30" s="1"/>
      <c r="AZ30" s="14"/>
      <c r="BA30" s="1"/>
      <c r="BB30" s="1"/>
    </row>
    <row r="31">
      <c r="A31" s="92" t="s">
        <v>209</v>
      </c>
      <c r="B31" s="92"/>
      <c r="C31" s="93"/>
      <c r="D31" s="32"/>
      <c r="E31" s="33"/>
      <c r="F31" s="34"/>
      <c r="G31" s="33"/>
      <c r="H31" s="28"/>
      <c r="I31" s="1"/>
      <c r="J31" s="84"/>
      <c r="K31" s="1"/>
      <c r="L31" s="84"/>
      <c r="M31" s="84"/>
      <c r="N31" s="1"/>
      <c r="O31" s="49"/>
      <c r="P31" s="28"/>
      <c r="Q31" s="1"/>
      <c r="R31" s="1"/>
      <c r="S31" s="28"/>
      <c r="T31" s="1"/>
      <c r="U31" s="1"/>
      <c r="V31" s="1"/>
      <c r="W31" s="1"/>
      <c r="X31" s="28"/>
      <c r="Y31" s="1"/>
      <c r="Z31" s="1"/>
      <c r="AA31" s="1"/>
      <c r="AB31" s="1"/>
      <c r="AC31" s="1"/>
      <c r="AD31" s="1"/>
      <c r="AE31" s="1"/>
      <c r="AF31" s="28"/>
      <c r="AG31" s="1"/>
      <c r="AH31" s="1"/>
      <c r="AI31" s="1"/>
      <c r="AJ31" s="1"/>
      <c r="AK31" s="28"/>
      <c r="AL31" s="1"/>
      <c r="AM31" s="1"/>
      <c r="AN31" s="1"/>
      <c r="AO31" s="1"/>
      <c r="AP31" s="1"/>
      <c r="AQ31" s="1"/>
      <c r="AR31" s="1"/>
      <c r="AS31" s="28"/>
      <c r="AT31" s="1"/>
      <c r="AU31" s="1"/>
      <c r="AV31" s="28"/>
      <c r="AW31" s="1"/>
      <c r="AX31" s="1"/>
      <c r="AY31" s="1"/>
      <c r="AZ31" s="30"/>
    </row>
    <row r="32">
      <c r="A32" s="1" t="s">
        <v>210</v>
      </c>
      <c r="B32" s="48" t="s">
        <v>211</v>
      </c>
      <c r="C32" s="27" t="s">
        <v>152</v>
      </c>
      <c r="D32" s="32">
        <v>100.0</v>
      </c>
      <c r="E32" s="33">
        <v>0.0</v>
      </c>
      <c r="F32" s="34">
        <f t="shared" ref="F32:F33" si="4">D32+E32*12*10</f>
        <v>100</v>
      </c>
      <c r="G32" s="73" t="s">
        <v>142</v>
      </c>
      <c r="H32" s="51" t="s">
        <v>64</v>
      </c>
      <c r="I32" s="37" t="s">
        <v>64</v>
      </c>
      <c r="J32" s="60" t="s">
        <v>103</v>
      </c>
      <c r="K32" s="37" t="s">
        <v>64</v>
      </c>
      <c r="L32" s="60" t="s">
        <v>103</v>
      </c>
      <c r="M32" s="60" t="s">
        <v>103</v>
      </c>
      <c r="N32" s="37" t="s">
        <v>64</v>
      </c>
      <c r="O32" s="49"/>
      <c r="P32" s="39" t="s">
        <v>89</v>
      </c>
      <c r="Q32" s="36" t="s">
        <v>98</v>
      </c>
      <c r="R32" s="37">
        <v>2016.0</v>
      </c>
      <c r="S32" s="50" t="s">
        <v>70</v>
      </c>
      <c r="T32" s="36" t="s">
        <v>67</v>
      </c>
      <c r="U32" s="36" t="s">
        <v>67</v>
      </c>
      <c r="V32" s="40" t="s">
        <v>66</v>
      </c>
      <c r="W32" s="40" t="s">
        <v>66</v>
      </c>
      <c r="X32" s="41" t="s">
        <v>67</v>
      </c>
      <c r="Y32" s="40" t="s">
        <v>66</v>
      </c>
      <c r="Z32" s="45" t="s">
        <v>70</v>
      </c>
      <c r="AA32" s="45" t="s">
        <v>70</v>
      </c>
      <c r="AB32" s="45" t="s">
        <v>122</v>
      </c>
      <c r="AC32" s="37" t="s">
        <v>212</v>
      </c>
      <c r="AF32" s="50">
        <v>4.0</v>
      </c>
      <c r="AG32" s="37" t="s">
        <v>213</v>
      </c>
      <c r="AH32" s="45" t="s">
        <v>70</v>
      </c>
      <c r="AI32" s="36" t="s">
        <v>67</v>
      </c>
      <c r="AJ32" s="36" t="s">
        <v>67</v>
      </c>
      <c r="AK32" s="51" t="s">
        <v>117</v>
      </c>
      <c r="AL32" s="45" t="s">
        <v>70</v>
      </c>
      <c r="AM32" s="50" t="s">
        <v>70</v>
      </c>
      <c r="AN32" s="45" t="s">
        <v>70</v>
      </c>
      <c r="AO32" s="45" t="s">
        <v>70</v>
      </c>
      <c r="AP32" s="37" t="s">
        <v>214</v>
      </c>
      <c r="AQ32" s="40" t="s">
        <v>66</v>
      </c>
      <c r="AR32" s="45" t="s">
        <v>70</v>
      </c>
      <c r="AS32" s="51" t="s">
        <v>192</v>
      </c>
      <c r="AT32" s="37" t="s">
        <v>129</v>
      </c>
      <c r="AU32" s="40" t="s">
        <v>66</v>
      </c>
      <c r="AV32" s="50" t="s">
        <v>70</v>
      </c>
      <c r="AW32" s="37" t="s">
        <v>148</v>
      </c>
      <c r="AX32" s="45" t="s">
        <v>70</v>
      </c>
      <c r="AY32" s="45" t="s">
        <v>70</v>
      </c>
      <c r="AZ32" s="30"/>
      <c r="BA32" s="1">
        <v>2019.07</v>
      </c>
    </row>
    <row r="33">
      <c r="A33" s="1" t="s">
        <v>215</v>
      </c>
      <c r="B33" s="48" t="s">
        <v>216</v>
      </c>
      <c r="C33" s="81" t="s">
        <v>217</v>
      </c>
      <c r="D33" s="32">
        <v>1250.0</v>
      </c>
      <c r="E33" s="33">
        <v>0.0</v>
      </c>
      <c r="F33" s="34">
        <f t="shared" si="4"/>
        <v>1250</v>
      </c>
      <c r="G33" s="73" t="s">
        <v>142</v>
      </c>
      <c r="H33" s="51" t="s">
        <v>64</v>
      </c>
      <c r="I33" s="37" t="s">
        <v>64</v>
      </c>
      <c r="J33" s="60" t="s">
        <v>103</v>
      </c>
      <c r="K33" s="37" t="s">
        <v>64</v>
      </c>
      <c r="L33" s="60" t="s">
        <v>103</v>
      </c>
      <c r="M33" s="60" t="s">
        <v>103</v>
      </c>
      <c r="N33" s="60" t="s">
        <v>103</v>
      </c>
      <c r="O33" s="38"/>
      <c r="P33" s="51" t="s">
        <v>218</v>
      </c>
      <c r="Q33" s="40" t="s">
        <v>66</v>
      </c>
      <c r="R33" s="44">
        <v>2018.0</v>
      </c>
      <c r="S33" s="50" t="s">
        <v>70</v>
      </c>
      <c r="T33" s="45" t="s">
        <v>70</v>
      </c>
      <c r="U33" s="45" t="s">
        <v>70</v>
      </c>
      <c r="V33" s="94" t="s">
        <v>219</v>
      </c>
      <c r="X33" s="50" t="s">
        <v>70</v>
      </c>
      <c r="Y33" s="37" t="s">
        <v>163</v>
      </c>
      <c r="Z33" s="45" t="s">
        <v>70</v>
      </c>
      <c r="AA33" s="45" t="s">
        <v>70</v>
      </c>
      <c r="AB33" s="45" t="s">
        <v>70</v>
      </c>
      <c r="AC33" s="37" t="s">
        <v>212</v>
      </c>
      <c r="AF33" s="50">
        <v>2.0</v>
      </c>
      <c r="AG33" s="37" t="s">
        <v>220</v>
      </c>
      <c r="AH33" s="37" t="s">
        <v>221</v>
      </c>
      <c r="AI33" s="45" t="s">
        <v>70</v>
      </c>
      <c r="AJ33" s="45" t="s">
        <v>70</v>
      </c>
      <c r="AK33" s="50" t="s">
        <v>70</v>
      </c>
      <c r="AL33" s="45" t="s">
        <v>70</v>
      </c>
      <c r="AM33" s="50" t="s">
        <v>70</v>
      </c>
      <c r="AN33" s="45" t="s">
        <v>70</v>
      </c>
      <c r="AO33" s="37" t="s">
        <v>222</v>
      </c>
      <c r="AP33" s="45" t="s">
        <v>70</v>
      </c>
      <c r="AQ33" s="40" t="s">
        <v>223</v>
      </c>
      <c r="AR33" s="40" t="s">
        <v>223</v>
      </c>
      <c r="AS33" s="50" t="s">
        <v>70</v>
      </c>
      <c r="AT33" s="45" t="s">
        <v>70</v>
      </c>
      <c r="AU33" s="95" t="s">
        <v>70</v>
      </c>
      <c r="AV33" s="50" t="s">
        <v>70</v>
      </c>
      <c r="AW33" s="45" t="s">
        <v>70</v>
      </c>
      <c r="AX33" s="45" t="s">
        <v>70</v>
      </c>
      <c r="AY33" s="36" t="s">
        <v>67</v>
      </c>
      <c r="AZ33" s="14"/>
      <c r="BA33" s="1">
        <v>2019.07</v>
      </c>
      <c r="BB33" s="1" t="s">
        <v>224</v>
      </c>
    </row>
    <row r="34">
      <c r="A34" s="1" t="s">
        <v>225</v>
      </c>
      <c r="B34" s="48" t="s">
        <v>226</v>
      </c>
      <c r="C34" s="81" t="s">
        <v>217</v>
      </c>
      <c r="D34" s="63" t="s">
        <v>66</v>
      </c>
      <c r="E34" s="64" t="s">
        <v>66</v>
      </c>
      <c r="F34" s="64" t="s">
        <v>66</v>
      </c>
      <c r="G34" s="73" t="s">
        <v>142</v>
      </c>
      <c r="H34" s="51" t="s">
        <v>64</v>
      </c>
      <c r="I34" s="37" t="s">
        <v>64</v>
      </c>
      <c r="J34" s="60" t="s">
        <v>103</v>
      </c>
      <c r="K34" s="60" t="s">
        <v>103</v>
      </c>
      <c r="L34" s="60" t="s">
        <v>103</v>
      </c>
      <c r="M34" s="60" t="s">
        <v>103</v>
      </c>
      <c r="N34" s="60" t="s">
        <v>103</v>
      </c>
      <c r="O34" s="38"/>
      <c r="P34" s="43" t="s">
        <v>227</v>
      </c>
      <c r="Q34" s="40" t="s">
        <v>66</v>
      </c>
      <c r="R34" s="36">
        <v>2000.0</v>
      </c>
      <c r="S34" s="50" t="s">
        <v>70</v>
      </c>
      <c r="T34" s="45" t="s">
        <v>70</v>
      </c>
      <c r="U34" s="45" t="s">
        <v>70</v>
      </c>
      <c r="V34" s="94" t="s">
        <v>219</v>
      </c>
      <c r="X34" s="41" t="s">
        <v>67</v>
      </c>
      <c r="Y34" s="45" t="s">
        <v>70</v>
      </c>
      <c r="Z34" s="45" t="s">
        <v>70</v>
      </c>
      <c r="AA34" s="45" t="s">
        <v>70</v>
      </c>
      <c r="AB34" s="45" t="s">
        <v>70</v>
      </c>
      <c r="AC34" s="45" t="s">
        <v>228</v>
      </c>
      <c r="AF34" s="43">
        <v>1.0</v>
      </c>
      <c r="AG34" s="44" t="s">
        <v>229</v>
      </c>
      <c r="AH34" s="45" t="s">
        <v>230</v>
      </c>
      <c r="AI34" s="45" t="s">
        <v>70</v>
      </c>
      <c r="AJ34" s="45" t="s">
        <v>70</v>
      </c>
      <c r="AK34" s="50" t="s">
        <v>70</v>
      </c>
      <c r="AL34" s="45" t="s">
        <v>70</v>
      </c>
      <c r="AM34" s="50" t="s">
        <v>70</v>
      </c>
      <c r="AN34" s="45" t="s">
        <v>70</v>
      </c>
      <c r="AO34" s="37" t="s">
        <v>231</v>
      </c>
      <c r="AP34" s="45" t="s">
        <v>70</v>
      </c>
      <c r="AQ34" s="45" t="s">
        <v>70</v>
      </c>
      <c r="AR34" s="45" t="s">
        <v>70</v>
      </c>
      <c r="AS34" s="50" t="s">
        <v>70</v>
      </c>
      <c r="AT34" s="45" t="s">
        <v>70</v>
      </c>
      <c r="AU34" s="95" t="s">
        <v>70</v>
      </c>
      <c r="AV34" s="50" t="s">
        <v>70</v>
      </c>
      <c r="AW34" s="45" t="s">
        <v>70</v>
      </c>
      <c r="AX34" s="45" t="s">
        <v>70</v>
      </c>
      <c r="AY34" s="36" t="s">
        <v>67</v>
      </c>
      <c r="AZ34" s="14"/>
      <c r="BA34" s="1">
        <v>2019.07</v>
      </c>
      <c r="BB34" s="1" t="s">
        <v>232</v>
      </c>
    </row>
    <row r="35">
      <c r="C35" s="3"/>
      <c r="D35" s="69"/>
      <c r="H35" s="69"/>
      <c r="O35" s="49"/>
      <c r="P35" s="69"/>
      <c r="S35" s="69"/>
      <c r="X35" s="69"/>
      <c r="AF35" s="69"/>
      <c r="AK35" s="69"/>
      <c r="AM35" s="69"/>
      <c r="AS35" s="69"/>
      <c r="AU35" s="3"/>
      <c r="AV35" s="69"/>
      <c r="AZ35" s="30"/>
    </row>
    <row r="36">
      <c r="A36" s="92" t="s">
        <v>233</v>
      </c>
      <c r="B36" s="96"/>
      <c r="C36" s="93"/>
      <c r="D36" s="69"/>
      <c r="H36" s="69"/>
      <c r="O36" s="49"/>
      <c r="P36" s="69"/>
      <c r="S36" s="69"/>
      <c r="X36" s="69"/>
      <c r="AF36" s="69"/>
      <c r="AK36" s="69"/>
      <c r="AM36" s="69"/>
      <c r="AS36" s="69"/>
      <c r="AU36" s="3"/>
      <c r="AV36" s="69"/>
      <c r="AZ36" s="30"/>
    </row>
    <row r="37">
      <c r="A37" s="1" t="s">
        <v>234</v>
      </c>
      <c r="B37" s="48" t="s">
        <v>235</v>
      </c>
      <c r="C37" s="27" t="s">
        <v>78</v>
      </c>
      <c r="D37" s="32">
        <v>0.0</v>
      </c>
      <c r="E37" s="33">
        <v>53.0</v>
      </c>
      <c r="F37" s="34">
        <f>D37+E37*12*10</f>
        <v>6360</v>
      </c>
      <c r="G37" s="73" t="s">
        <v>66</v>
      </c>
      <c r="H37" s="51" t="s">
        <v>64</v>
      </c>
      <c r="I37" s="36" t="s">
        <v>63</v>
      </c>
      <c r="J37" s="37" t="s">
        <v>64</v>
      </c>
      <c r="K37" s="37" t="s">
        <v>64</v>
      </c>
      <c r="L37" s="60" t="s">
        <v>103</v>
      </c>
      <c r="M37" s="60" t="s">
        <v>103</v>
      </c>
      <c r="N37" s="37" t="s">
        <v>64</v>
      </c>
      <c r="O37" s="49"/>
      <c r="P37" s="39" t="s">
        <v>89</v>
      </c>
      <c r="Q37" s="36" t="s">
        <v>236</v>
      </c>
      <c r="R37" s="36">
        <v>1981.0</v>
      </c>
      <c r="S37" s="50" t="s">
        <v>70</v>
      </c>
      <c r="T37" s="36" t="s">
        <v>67</v>
      </c>
      <c r="U37" s="94" t="s">
        <v>67</v>
      </c>
      <c r="V37" s="40" t="s">
        <v>66</v>
      </c>
      <c r="W37" s="40" t="s">
        <v>66</v>
      </c>
      <c r="X37" s="50" t="s">
        <v>70</v>
      </c>
      <c r="Y37" s="45" t="s">
        <v>70</v>
      </c>
      <c r="Z37" s="40" t="s">
        <v>66</v>
      </c>
      <c r="AA37" s="36" t="s">
        <v>67</v>
      </c>
      <c r="AB37" s="36" t="s">
        <v>67</v>
      </c>
      <c r="AC37" s="36" t="s">
        <v>67</v>
      </c>
      <c r="AD37" s="45" t="s">
        <v>70</v>
      </c>
      <c r="AE37" s="45" t="s">
        <v>70</v>
      </c>
      <c r="AF37" s="50">
        <v>2.0</v>
      </c>
      <c r="AG37" s="40" t="s">
        <v>66</v>
      </c>
      <c r="AH37" s="45" t="s">
        <v>70</v>
      </c>
      <c r="AI37" s="40" t="s">
        <v>66</v>
      </c>
      <c r="AJ37" s="36" t="s">
        <v>67</v>
      </c>
      <c r="AK37" s="43" t="s">
        <v>93</v>
      </c>
      <c r="AL37" s="45" t="s">
        <v>70</v>
      </c>
      <c r="AM37" s="45" t="s">
        <v>70</v>
      </c>
      <c r="AN37" s="45" t="s">
        <v>70</v>
      </c>
      <c r="AO37" s="45" t="s">
        <v>70</v>
      </c>
      <c r="AP37" s="45" t="s">
        <v>70</v>
      </c>
      <c r="AQ37" s="40" t="s">
        <v>66</v>
      </c>
      <c r="AR37" s="40" t="s">
        <v>66</v>
      </c>
      <c r="AS37" s="41" t="s">
        <v>67</v>
      </c>
      <c r="AT37" s="45" t="s">
        <v>70</v>
      </c>
      <c r="AU37" s="37">
        <v>4.0</v>
      </c>
      <c r="AV37" s="50" t="s">
        <v>70</v>
      </c>
      <c r="AW37" s="45" t="s">
        <v>70</v>
      </c>
      <c r="AX37" s="45" t="s">
        <v>70</v>
      </c>
      <c r="AY37" s="45" t="s">
        <v>70</v>
      </c>
      <c r="AZ37" s="30"/>
      <c r="BA37" s="1">
        <v>2019.08</v>
      </c>
    </row>
    <row r="38">
      <c r="A38" s="1" t="s">
        <v>237</v>
      </c>
      <c r="B38" s="48" t="s">
        <v>238</v>
      </c>
      <c r="C38" s="1" t="s">
        <v>61</v>
      </c>
      <c r="D38" s="69"/>
      <c r="H38" s="69"/>
      <c r="O38" s="49"/>
      <c r="P38" s="69"/>
      <c r="S38" s="69"/>
      <c r="X38" s="69"/>
      <c r="AF38" s="69"/>
      <c r="AK38" s="69"/>
      <c r="AM38" s="69"/>
      <c r="AS38" s="69"/>
      <c r="AU38" s="3"/>
      <c r="AV38" s="69"/>
      <c r="AZ38" s="30"/>
    </row>
    <row r="39">
      <c r="C39" s="97"/>
      <c r="D39" s="69"/>
      <c r="H39" s="69"/>
      <c r="O39" s="49"/>
      <c r="P39" s="69"/>
      <c r="S39" s="69"/>
      <c r="X39" s="69"/>
      <c r="AF39" s="69"/>
      <c r="AK39" s="69"/>
      <c r="AM39" s="69"/>
      <c r="AS39" s="69"/>
      <c r="AU39" s="3"/>
      <c r="AV39" s="69"/>
      <c r="AZ39" s="30"/>
    </row>
    <row r="40">
      <c r="A40" s="98" t="str">
        <f t="shared" ref="A40:N40" si="5">A2</f>
        <v>Name</v>
      </c>
      <c r="B40" s="98" t="str">
        <f t="shared" si="5"/>
        <v>link</v>
      </c>
      <c r="C40" s="98" t="str">
        <f t="shared" si="5"/>
        <v>type</v>
      </c>
      <c r="D40" s="99" t="str">
        <f t="shared" si="5"/>
        <v>one-time fee, per end-user</v>
      </c>
      <c r="E40" s="98" t="str">
        <f t="shared" si="5"/>
        <v>monthly fee, per end-user</v>
      </c>
      <c r="F40" s="98" t="str">
        <f t="shared" si="5"/>
        <v>sum of regular fees for 10 years + the one-time fee</v>
      </c>
      <c r="G40" s="98" t="str">
        <f t="shared" si="5"/>
        <v>alarm dispatch fee, per dispatch</v>
      </c>
      <c r="H40" s="99" t="str">
        <f t="shared" si="5"/>
        <v>quality</v>
      </c>
      <c r="I40" s="98" t="str">
        <f t="shared" si="5"/>
        <v>handling of false positives / negatives</v>
      </c>
      <c r="J40" s="98" t="str">
        <f t="shared" si="5"/>
        <v>ease of integration into CSO's operations</v>
      </c>
      <c r="K40" s="98" t="str">
        <f t="shared" si="5"/>
        <v>the end-user can wear the device 24/7</v>
      </c>
      <c r="L40" s="98" t="str">
        <f t="shared" si="5"/>
        <v>even an elderly end-user will rarely forget to wear it</v>
      </c>
      <c r="M40" s="98" t="str">
        <f t="shared" si="5"/>
        <v>the system can automatically and speedily detect deanimation</v>
      </c>
      <c r="N40" s="98" t="str">
        <f t="shared" si="5"/>
        <v>geolocation functionality</v>
      </c>
      <c r="O40" s="100"/>
      <c r="P40" s="99" t="str">
        <f t="shared" ref="P40:AY40" si="6">P2</f>
        <v>the system has been tested by a reputable cryonicist (quality assessment, tester's name)</v>
      </c>
      <c r="Q40" s="98" t="str">
        <f t="shared" si="6"/>
        <v>independent quality ratings (Consumer Affairs, Play Store etc) </v>
      </c>
      <c r="R40" s="98" t="str">
        <f t="shared" si="6"/>
        <v>the system in operation since (year):</v>
      </c>
      <c r="S40" s="99" t="str">
        <f t="shared" si="6"/>
        <v>there are consumer- accesible settings to reduce false alarm rates</v>
      </c>
      <c r="T40" s="98" t="str">
        <f t="shared" si="6"/>
        <v>Voice-2-voice communication between the end-user and the 24/7 monitoring team is possible</v>
      </c>
      <c r="U40" s="98" t="str">
        <f t="shared" si="6"/>
        <v>a SOS button to manually trigger an alarm</v>
      </c>
      <c r="V40" s="98" t="str">
        <f t="shared" si="6"/>
        <v>observed false positives rate, per day (i.e. "the watchdog is barking on harmless stuff")</v>
      </c>
      <c r="W40" s="98" t="str">
        <f t="shared" si="6"/>
        <v>observed false negatives rate, per day (i.e. "the watchdog is half-deaf")</v>
      </c>
      <c r="X40" s="99" t="str">
        <f t="shared" si="6"/>
        <v>the system provider offers a b2b integration (e.g. they install first-responder terminals, provide tech support etc)</v>
      </c>
      <c r="Y40" s="98" t="str">
        <f t="shared" si="6"/>
        <v>there are APIs or other means to integrate it into a first-responder terminal at a CSO</v>
      </c>
      <c r="Z40" s="98" t="str">
        <f t="shared" si="6"/>
        <v>there are automatic firmware updates (no end-user interaction required for it)</v>
      </c>
      <c r="AA40" s="98" t="str">
        <f t="shared" si="6"/>
        <v>the system includes a 24/7 professional alarm dispatch connectivity</v>
      </c>
      <c r="AB40" s="98" t="str">
        <f t="shared" si="6"/>
        <v>built-in cellular connection: the end-user don't need to couple the device with a phone etc</v>
      </c>
      <c r="AC40" s="98" t="str">
        <f t="shared" si="6"/>
        <v>the alarm system works in the US</v>
      </c>
      <c r="AD40" s="98" t="str">
        <f t="shared" si="6"/>
        <v>... in the EU</v>
      </c>
      <c r="AE40" s="98" t="str">
        <f t="shared" si="6"/>
        <v>... in Russia</v>
      </c>
      <c r="AF40" s="99" t="str">
        <f t="shared" si="6"/>
        <v>battery life, days</v>
      </c>
      <c r="AG40" s="98" t="str">
        <f t="shared" si="6"/>
        <v>size of the wearable, cm</v>
      </c>
      <c r="AH40" s="98" t="str">
        <f t="shared" si="6"/>
        <v>suitable for wearing in bed during sleep</v>
      </c>
      <c r="AI40" s="98" t="str">
        <f t="shared" si="6"/>
        <v>shower safe (the end-user can take a shower with it)</v>
      </c>
      <c r="AJ40" s="98" t="str">
        <f t="shared" si="6"/>
        <v>looks good enough to wear it in public (discreet and/or looks like a luxury item)</v>
      </c>
      <c r="AK40" s="99" t="str">
        <f t="shared" si="6"/>
        <v>The "coolness" factor could facilitate adoption/usage among users</v>
      </c>
      <c r="AL40" s="99" t="str">
        <f t="shared" si="6"/>
        <v>The device is activelly encoraging the end-user to wear it (e.g. signaling if no movement is detected)</v>
      </c>
      <c r="AM40" s="99" t="str">
        <f t="shared" si="6"/>
        <v>Man Down functionality (e.g. fall detection)</v>
      </c>
      <c r="AN40" s="98" t="str">
        <f t="shared" si="6"/>
        <v>Non-Motion Alarming (detects the absence of micro-movements)</v>
      </c>
      <c r="AO40" s="98" t="str">
        <f t="shared" si="6"/>
        <v>Heart Rate Alarming (e.g. heart rate is too slow etc)</v>
      </c>
      <c r="AP40" s="98" t="str">
        <f t="shared" si="6"/>
        <v>optional check-in every X minutes</v>
      </c>
      <c r="AQ40" s="98" t="str">
        <f t="shared" si="6"/>
        <v>number of data exchanges between the device and the server per hour</v>
      </c>
      <c r="AR40" s="98" t="str">
        <f t="shared" si="6"/>
        <v>stationary signal amplifier (e.g. for the case of a weak cellular signal in some rooms)</v>
      </c>
      <c r="AS40" s="99" t="str">
        <f t="shared" si="6"/>
        <v>built-in geolocation tracker (e.g. GPS)</v>
      </c>
      <c r="AT40" s="98" t="str">
        <f t="shared" si="6"/>
        <v>multiple geolocation technologies (e.g. + WiFi, digital breadcrumbs etc)</v>
      </c>
      <c r="AU40" s="98" t="str">
        <f t="shared" si="6"/>
        <v>number of geolocation readings per hour</v>
      </c>
      <c r="AV40" s="99" t="str">
        <f t="shared" si="6"/>
        <v>Build-in audio-beacon to help the rescuiers locate the end-user (in a big building etc)</v>
      </c>
      <c r="AW40" s="99" t="str">
        <f t="shared" si="6"/>
        <v>the system includes a peer-to-peer help network</v>
      </c>
      <c r="AX40" s="98" t="str">
        <f t="shared" si="6"/>
        <v>worldwide satellite communication</v>
      </c>
      <c r="AY40" s="98" t="str">
        <f t="shared" si="6"/>
        <v>optional integration with a medical analytics system</v>
      </c>
      <c r="AZ40" s="101"/>
      <c r="BA40" s="98"/>
      <c r="BB40" s="98" t="str">
        <f t="shared" ref="BB40:BG40" si="7">BB2</f>
        <v>comments</v>
      </c>
      <c r="BC40" s="98" t="str">
        <f t="shared" si="7"/>
        <v/>
      </c>
      <c r="BD40" s="98" t="str">
        <f t="shared" si="7"/>
        <v/>
      </c>
      <c r="BE40" s="98" t="str">
        <f t="shared" si="7"/>
        <v/>
      </c>
      <c r="BF40" s="98" t="str">
        <f t="shared" si="7"/>
        <v/>
      </c>
      <c r="BG40" s="98" t="str">
        <f t="shared" si="7"/>
        <v/>
      </c>
      <c r="BH40" s="19"/>
      <c r="BI40" s="98"/>
      <c r="BJ40" s="19"/>
      <c r="BK40" s="19"/>
      <c r="BL40" s="19"/>
      <c r="BM40" s="19"/>
      <c r="BN40" s="19"/>
    </row>
    <row r="41">
      <c r="A41" s="102" t="s">
        <v>239</v>
      </c>
      <c r="B41" s="103"/>
      <c r="C41" s="104"/>
      <c r="D41" s="105" t="s">
        <v>240</v>
      </c>
      <c r="E41" s="103"/>
      <c r="F41" s="103"/>
      <c r="G41" s="103"/>
      <c r="H41" s="105"/>
      <c r="I41" s="102"/>
      <c r="J41" s="102"/>
      <c r="K41" s="102"/>
      <c r="L41" s="102"/>
      <c r="M41" s="102"/>
      <c r="N41" s="102"/>
      <c r="O41" s="106"/>
      <c r="P41" s="105" t="s">
        <v>4</v>
      </c>
      <c r="Q41" s="103"/>
      <c r="R41" s="103"/>
      <c r="S41" s="105" t="s">
        <v>5</v>
      </c>
      <c r="T41" s="103"/>
      <c r="U41" s="103"/>
      <c r="V41" s="103"/>
      <c r="W41" s="103"/>
      <c r="X41" s="105" t="s">
        <v>6</v>
      </c>
      <c r="Y41" s="103"/>
      <c r="Z41" s="103"/>
      <c r="AA41" s="103"/>
      <c r="AB41" s="103"/>
      <c r="AC41" s="103"/>
      <c r="AD41" s="103"/>
      <c r="AE41" s="107"/>
      <c r="AF41" s="105" t="s">
        <v>241</v>
      </c>
      <c r="AG41" s="103"/>
      <c r="AH41" s="103"/>
      <c r="AI41" s="103"/>
      <c r="AJ41" s="102"/>
      <c r="AK41" s="108" t="str">
        <f>AK3</f>
        <v/>
      </c>
      <c r="AL41" s="102"/>
      <c r="AM41" s="105" t="s">
        <v>9</v>
      </c>
      <c r="AN41" s="103"/>
      <c r="AO41" s="103"/>
      <c r="AP41" s="103"/>
      <c r="AQ41" s="103"/>
      <c r="AR41" s="107"/>
      <c r="AS41" s="105" t="s">
        <v>10</v>
      </c>
      <c r="AT41" s="103"/>
      <c r="AU41" s="107"/>
      <c r="AV41" s="105" t="s">
        <v>11</v>
      </c>
      <c r="AW41" s="103"/>
      <c r="AX41" s="103"/>
      <c r="AY41" s="103"/>
      <c r="AZ41" s="103"/>
      <c r="BA41" s="103"/>
      <c r="BB41" s="103"/>
      <c r="BC41" s="103"/>
      <c r="BD41" s="102"/>
      <c r="BE41" s="102"/>
      <c r="BF41" s="102"/>
      <c r="BG41" s="102"/>
      <c r="BH41" s="102"/>
      <c r="BI41" s="102"/>
      <c r="BJ41" s="102"/>
      <c r="BK41" s="102"/>
      <c r="BL41" s="109"/>
      <c r="BM41" s="109"/>
      <c r="BN41" s="109"/>
    </row>
    <row r="42">
      <c r="C42" s="3"/>
      <c r="D42" s="69"/>
      <c r="H42" s="69"/>
      <c r="O42" s="49"/>
      <c r="P42" s="69"/>
      <c r="S42" s="69"/>
      <c r="X42" s="69"/>
      <c r="AF42" s="69"/>
      <c r="AK42" s="69"/>
      <c r="AM42" s="69"/>
      <c r="AS42" s="69"/>
      <c r="AU42" s="3"/>
      <c r="AV42" s="69"/>
      <c r="AZ42" s="30"/>
    </row>
    <row r="43">
      <c r="A43" s="1" t="s">
        <v>242</v>
      </c>
      <c r="B43" s="1" t="s">
        <v>243</v>
      </c>
      <c r="C43" s="3"/>
      <c r="D43" s="69"/>
      <c r="H43" s="69"/>
      <c r="O43" s="49"/>
      <c r="P43" s="69"/>
      <c r="S43" s="69"/>
      <c r="X43" s="69"/>
      <c r="AF43" s="69"/>
      <c r="AK43" s="69"/>
      <c r="AM43" s="69"/>
      <c r="AS43" s="69"/>
      <c r="AU43" s="3"/>
      <c r="AV43" s="69"/>
      <c r="AZ43" s="30"/>
    </row>
    <row r="44">
      <c r="C44" s="3"/>
      <c r="D44" s="69"/>
      <c r="H44" s="69"/>
      <c r="O44" s="49"/>
      <c r="P44" s="69"/>
      <c r="S44" s="69"/>
      <c r="X44" s="69"/>
      <c r="AF44" s="69"/>
      <c r="AK44" s="69"/>
      <c r="AM44" s="69"/>
      <c r="AS44" s="69"/>
      <c r="AU44" s="3"/>
      <c r="AV44" s="69"/>
      <c r="AZ44" s="30"/>
    </row>
    <row r="45">
      <c r="C45" s="27" t="s">
        <v>149</v>
      </c>
      <c r="D45" s="69"/>
      <c r="H45" s="69"/>
      <c r="O45" s="49"/>
      <c r="P45" s="69"/>
      <c r="S45" s="69"/>
      <c r="X45" s="69"/>
      <c r="AF45" s="69"/>
      <c r="AK45" s="69"/>
      <c r="AM45" s="69"/>
      <c r="AS45" s="69"/>
      <c r="AU45" s="3"/>
      <c r="AV45" s="69"/>
      <c r="AZ45" s="30"/>
    </row>
    <row r="46">
      <c r="C46" s="3"/>
      <c r="D46" s="69"/>
      <c r="H46" s="69"/>
      <c r="O46" s="49"/>
      <c r="P46" s="69"/>
      <c r="S46" s="69"/>
      <c r="X46" s="69"/>
      <c r="AF46" s="69"/>
      <c r="AK46" s="69"/>
      <c r="AM46" s="69"/>
      <c r="AS46" s="69"/>
      <c r="AU46" s="3"/>
      <c r="AV46" s="69"/>
      <c r="AZ46" s="30"/>
    </row>
    <row r="47">
      <c r="C47" s="3"/>
      <c r="D47" s="69"/>
      <c r="H47" s="69"/>
      <c r="O47" s="49"/>
      <c r="P47" s="69"/>
      <c r="S47" s="69"/>
      <c r="X47" s="69"/>
      <c r="AF47" s="69"/>
      <c r="AK47" s="69"/>
      <c r="AM47" s="69"/>
      <c r="AS47" s="69"/>
      <c r="AU47" s="3"/>
      <c r="AV47" s="69"/>
      <c r="AZ47" s="30"/>
    </row>
    <row r="48">
      <c r="C48" s="3"/>
      <c r="D48" s="69"/>
      <c r="H48" s="69"/>
      <c r="O48" s="49"/>
      <c r="P48" s="69"/>
      <c r="S48" s="69"/>
      <c r="X48" s="69"/>
      <c r="AF48" s="69"/>
      <c r="AK48" s="69"/>
      <c r="AM48" s="69"/>
      <c r="AS48" s="69"/>
      <c r="AU48" s="3"/>
      <c r="AV48" s="69"/>
      <c r="AZ48" s="30"/>
    </row>
    <row r="49">
      <c r="C49" s="3"/>
      <c r="D49" s="69"/>
      <c r="H49" s="69"/>
      <c r="O49" s="49"/>
      <c r="P49" s="69"/>
      <c r="S49" s="69"/>
      <c r="X49" s="69"/>
      <c r="AF49" s="69"/>
      <c r="AK49" s="69"/>
      <c r="AM49" s="69"/>
      <c r="AS49" s="69"/>
      <c r="AU49" s="3"/>
      <c r="AV49" s="69"/>
      <c r="AZ49" s="30"/>
    </row>
    <row r="50">
      <c r="A50" s="110" t="s">
        <v>244</v>
      </c>
      <c r="D50" s="69"/>
      <c r="H50" s="69"/>
      <c r="O50" s="49"/>
      <c r="P50" s="69"/>
      <c r="S50" s="69"/>
      <c r="X50" s="69"/>
      <c r="AF50" s="69"/>
      <c r="AK50" s="69"/>
      <c r="AM50" s="69"/>
      <c r="AS50" s="69"/>
      <c r="AU50" s="3"/>
      <c r="AV50" s="69"/>
      <c r="AZ50" s="30"/>
    </row>
    <row r="51">
      <c r="AZ51" s="30"/>
    </row>
    <row r="52">
      <c r="AZ52" s="30"/>
    </row>
    <row r="53">
      <c r="D53" s="69"/>
      <c r="H53" s="69"/>
      <c r="O53" s="49"/>
      <c r="P53" s="69"/>
      <c r="S53" s="69"/>
      <c r="X53" s="69"/>
      <c r="AF53" s="69"/>
      <c r="AK53" s="69"/>
      <c r="AM53" s="69"/>
      <c r="AS53" s="69"/>
      <c r="AU53" s="3"/>
      <c r="AV53" s="69"/>
      <c r="AZ53" s="30"/>
    </row>
    <row r="54">
      <c r="A54" s="1" t="s">
        <v>245</v>
      </c>
      <c r="B54" s="48" t="s">
        <v>246</v>
      </c>
      <c r="C54" s="111" t="s">
        <v>217</v>
      </c>
      <c r="D54" s="69"/>
      <c r="H54" s="69"/>
      <c r="O54" s="49"/>
      <c r="P54" s="69"/>
      <c r="S54" s="69"/>
      <c r="X54" s="69"/>
      <c r="AF54" s="69"/>
      <c r="AK54" s="69"/>
      <c r="AM54" s="69"/>
      <c r="AS54" s="69"/>
      <c r="AU54" s="3"/>
      <c r="AV54" s="69"/>
      <c r="AZ54" s="30"/>
    </row>
    <row r="55">
      <c r="B55" s="48" t="s">
        <v>247</v>
      </c>
      <c r="C55" s="1" t="s">
        <v>61</v>
      </c>
      <c r="D55" s="69"/>
      <c r="H55" s="69"/>
      <c r="O55" s="49"/>
      <c r="P55" s="69"/>
      <c r="S55" s="69"/>
      <c r="X55" s="69"/>
      <c r="AF55" s="69"/>
      <c r="AK55" s="69"/>
      <c r="AM55" s="69"/>
      <c r="AS55" s="69"/>
      <c r="AU55" s="3"/>
      <c r="AV55" s="69"/>
      <c r="AZ55" s="30"/>
    </row>
    <row r="56">
      <c r="B56" s="48" t="s">
        <v>248</v>
      </c>
      <c r="C56" s="1" t="s">
        <v>61</v>
      </c>
      <c r="D56" s="69"/>
      <c r="H56" s="69"/>
      <c r="O56" s="49"/>
      <c r="P56" s="69"/>
      <c r="S56" s="69"/>
      <c r="X56" s="69"/>
      <c r="AF56" s="69"/>
      <c r="AK56" s="69"/>
      <c r="AM56" s="69"/>
      <c r="AS56" s="69"/>
      <c r="AU56" s="3"/>
      <c r="AV56" s="69"/>
      <c r="AZ56" s="30"/>
    </row>
    <row r="57">
      <c r="B57" s="48" t="s">
        <v>249</v>
      </c>
      <c r="C57" s="1" t="s">
        <v>61</v>
      </c>
      <c r="D57" s="69"/>
      <c r="H57" s="69"/>
      <c r="O57" s="49"/>
      <c r="P57" s="69"/>
      <c r="S57" s="69"/>
      <c r="X57" s="69"/>
      <c r="AF57" s="69"/>
      <c r="AK57" s="69"/>
      <c r="AM57" s="69"/>
      <c r="AS57" s="69"/>
      <c r="AU57" s="3"/>
      <c r="AV57" s="69"/>
      <c r="AZ57" s="30"/>
    </row>
    <row r="58">
      <c r="B58" s="48" t="s">
        <v>250</v>
      </c>
      <c r="C58" s="1" t="s">
        <v>61</v>
      </c>
      <c r="D58" s="69"/>
      <c r="H58" s="69"/>
      <c r="O58" s="49"/>
      <c r="P58" s="69"/>
      <c r="S58" s="69"/>
      <c r="X58" s="69"/>
      <c r="AF58" s="69"/>
      <c r="AK58" s="69"/>
      <c r="AM58" s="69"/>
      <c r="AS58" s="69"/>
      <c r="AU58" s="3"/>
      <c r="AV58" s="69"/>
      <c r="AZ58" s="30"/>
    </row>
    <row r="59">
      <c r="B59" s="48" t="s">
        <v>251</v>
      </c>
      <c r="C59" s="1" t="s">
        <v>61</v>
      </c>
      <c r="D59" s="69"/>
      <c r="H59" s="69"/>
      <c r="O59" s="49"/>
      <c r="P59" s="69"/>
      <c r="S59" s="69"/>
      <c r="X59" s="69"/>
      <c r="AF59" s="69"/>
      <c r="AK59" s="69"/>
      <c r="AM59" s="69"/>
      <c r="AS59" s="69"/>
      <c r="AU59" s="3"/>
      <c r="AV59" s="69"/>
      <c r="AZ59" s="30"/>
    </row>
    <row r="60">
      <c r="B60" s="48" t="s">
        <v>252</v>
      </c>
      <c r="C60" s="1" t="s">
        <v>61</v>
      </c>
      <c r="D60" s="69"/>
      <c r="H60" s="69"/>
      <c r="O60" s="49"/>
      <c r="P60" s="69"/>
      <c r="S60" s="69"/>
      <c r="X60" s="69"/>
      <c r="AF60" s="69"/>
      <c r="AK60" s="69"/>
      <c r="AM60" s="69"/>
      <c r="AS60" s="69"/>
      <c r="AU60" s="3"/>
      <c r="AV60" s="69"/>
      <c r="AZ60" s="30"/>
    </row>
    <row r="61">
      <c r="B61" s="48" t="s">
        <v>253</v>
      </c>
      <c r="C61" s="1" t="s">
        <v>61</v>
      </c>
      <c r="D61" s="69"/>
      <c r="H61" s="69"/>
      <c r="O61" s="49"/>
      <c r="P61" s="69"/>
      <c r="S61" s="69"/>
      <c r="X61" s="69"/>
      <c r="AF61" s="69"/>
      <c r="AK61" s="69"/>
      <c r="AM61" s="69"/>
      <c r="AS61" s="69"/>
      <c r="AU61" s="3"/>
      <c r="AV61" s="69"/>
      <c r="AZ61" s="30"/>
    </row>
    <row r="62">
      <c r="B62" s="48" t="s">
        <v>254</v>
      </c>
      <c r="C62" s="1" t="s">
        <v>61</v>
      </c>
      <c r="D62" s="69"/>
      <c r="H62" s="69"/>
      <c r="O62" s="49"/>
      <c r="P62" s="69"/>
      <c r="S62" s="69"/>
      <c r="X62" s="69"/>
      <c r="AF62" s="69"/>
      <c r="AK62" s="69"/>
      <c r="AM62" s="69"/>
      <c r="AS62" s="69"/>
      <c r="AU62" s="3"/>
      <c r="AV62" s="69"/>
      <c r="AZ62" s="30"/>
    </row>
    <row r="63">
      <c r="B63" s="48" t="s">
        <v>255</v>
      </c>
      <c r="C63" s="1" t="s">
        <v>61</v>
      </c>
      <c r="D63" s="69"/>
      <c r="H63" s="69"/>
      <c r="O63" s="49"/>
      <c r="P63" s="69"/>
      <c r="S63" s="69"/>
      <c r="X63" s="69"/>
      <c r="AF63" s="69"/>
      <c r="AK63" s="69"/>
      <c r="AM63" s="69"/>
      <c r="AS63" s="69"/>
      <c r="AU63" s="3"/>
      <c r="AV63" s="69"/>
      <c r="AZ63" s="30"/>
    </row>
    <row r="64">
      <c r="B64" s="48" t="s">
        <v>256</v>
      </c>
      <c r="C64" s="1" t="s">
        <v>61</v>
      </c>
      <c r="D64" s="69"/>
      <c r="H64" s="69"/>
      <c r="O64" s="49"/>
      <c r="P64" s="69"/>
      <c r="S64" s="69"/>
      <c r="X64" s="69"/>
      <c r="AF64" s="69"/>
      <c r="AK64" s="69"/>
      <c r="AM64" s="69"/>
      <c r="AS64" s="69"/>
      <c r="AU64" s="3"/>
      <c r="AV64" s="69"/>
      <c r="AZ64" s="30"/>
    </row>
    <row r="65">
      <c r="B65" s="48" t="s">
        <v>257</v>
      </c>
      <c r="C65" s="1" t="s">
        <v>61</v>
      </c>
      <c r="D65" s="69"/>
      <c r="H65" s="69"/>
      <c r="O65" s="49"/>
      <c r="P65" s="69"/>
      <c r="S65" s="69"/>
      <c r="X65" s="69"/>
      <c r="AF65" s="69"/>
      <c r="AK65" s="69"/>
      <c r="AM65" s="69"/>
      <c r="AS65" s="69"/>
      <c r="AU65" s="3"/>
      <c r="AV65" s="69"/>
      <c r="AZ65" s="30"/>
    </row>
    <row r="66">
      <c r="B66" s="48" t="s">
        <v>258</v>
      </c>
      <c r="C66" s="1" t="s">
        <v>61</v>
      </c>
      <c r="D66" s="69"/>
      <c r="H66" s="69"/>
      <c r="O66" s="49"/>
      <c r="P66" s="69"/>
      <c r="S66" s="69"/>
      <c r="X66" s="69"/>
      <c r="AF66" s="69"/>
      <c r="AK66" s="69"/>
      <c r="AM66" s="69"/>
      <c r="AS66" s="69"/>
      <c r="AU66" s="3"/>
      <c r="AV66" s="69"/>
      <c r="AZ66" s="30"/>
    </row>
    <row r="67">
      <c r="B67" s="48" t="s">
        <v>259</v>
      </c>
      <c r="C67" s="1" t="s">
        <v>61</v>
      </c>
      <c r="D67" s="69"/>
      <c r="H67" s="69"/>
      <c r="O67" s="49"/>
      <c r="P67" s="69"/>
      <c r="S67" s="69"/>
      <c r="X67" s="69"/>
      <c r="AF67" s="69"/>
      <c r="AK67" s="69"/>
      <c r="AM67" s="69"/>
      <c r="AS67" s="69"/>
      <c r="AU67" s="3"/>
      <c r="AV67" s="69"/>
      <c r="AZ67" s="30"/>
    </row>
    <row r="68">
      <c r="B68" s="48" t="s">
        <v>260</v>
      </c>
      <c r="C68" s="1" t="s">
        <v>61</v>
      </c>
      <c r="D68" s="69"/>
      <c r="H68" s="69"/>
      <c r="O68" s="49"/>
      <c r="P68" s="69"/>
      <c r="S68" s="69"/>
      <c r="X68" s="69"/>
      <c r="AF68" s="69"/>
      <c r="AK68" s="69"/>
      <c r="AM68" s="69"/>
      <c r="AS68" s="69"/>
      <c r="AU68" s="3"/>
      <c r="AV68" s="69"/>
      <c r="AZ68" s="30"/>
    </row>
    <row r="69">
      <c r="B69" s="48" t="s">
        <v>261</v>
      </c>
      <c r="C69" s="1" t="s">
        <v>61</v>
      </c>
      <c r="D69" s="69"/>
      <c r="H69" s="69"/>
      <c r="O69" s="49"/>
      <c r="P69" s="69"/>
      <c r="S69" s="69"/>
      <c r="X69" s="69"/>
      <c r="AF69" s="69"/>
      <c r="AK69" s="69"/>
      <c r="AM69" s="69"/>
      <c r="AS69" s="69"/>
      <c r="AU69" s="3"/>
      <c r="AV69" s="69"/>
      <c r="AZ69" s="30"/>
    </row>
    <row r="70">
      <c r="B70" s="48" t="s">
        <v>262</v>
      </c>
      <c r="C70" s="1" t="s">
        <v>61</v>
      </c>
      <c r="D70" s="69"/>
      <c r="H70" s="69"/>
      <c r="O70" s="49"/>
      <c r="P70" s="69"/>
      <c r="S70" s="69"/>
      <c r="X70" s="69"/>
      <c r="AF70" s="69"/>
      <c r="AK70" s="69"/>
      <c r="AM70" s="69"/>
      <c r="AS70" s="69"/>
      <c r="AU70" s="3"/>
      <c r="AV70" s="69"/>
      <c r="AZ70" s="30"/>
    </row>
    <row r="71">
      <c r="B71" s="48" t="s">
        <v>263</v>
      </c>
      <c r="C71" s="1" t="s">
        <v>61</v>
      </c>
      <c r="D71" s="69"/>
      <c r="H71" s="69"/>
      <c r="O71" s="49"/>
      <c r="P71" s="69"/>
      <c r="S71" s="69"/>
      <c r="X71" s="69"/>
      <c r="AF71" s="69"/>
      <c r="AK71" s="69"/>
      <c r="AM71" s="69"/>
      <c r="AS71" s="69"/>
      <c r="AU71" s="3"/>
      <c r="AV71" s="69"/>
      <c r="AZ71" s="30"/>
    </row>
    <row r="72">
      <c r="B72" s="48" t="s">
        <v>264</v>
      </c>
      <c r="C72" s="1" t="s">
        <v>61</v>
      </c>
      <c r="D72" s="69"/>
      <c r="H72" s="69"/>
      <c r="O72" s="49"/>
      <c r="P72" s="69"/>
      <c r="S72" s="69"/>
      <c r="X72" s="69"/>
      <c r="AF72" s="69"/>
      <c r="AK72" s="69"/>
      <c r="AM72" s="69"/>
      <c r="AS72" s="69"/>
      <c r="AU72" s="3"/>
      <c r="AV72" s="69"/>
      <c r="AZ72" s="30"/>
    </row>
    <row r="73">
      <c r="B73" s="48" t="s">
        <v>265</v>
      </c>
      <c r="C73" s="1" t="s">
        <v>61</v>
      </c>
      <c r="D73" s="69"/>
      <c r="H73" s="69"/>
      <c r="O73" s="49"/>
      <c r="P73" s="69"/>
      <c r="S73" s="69"/>
      <c r="X73" s="69"/>
      <c r="AF73" s="69"/>
      <c r="AK73" s="69"/>
      <c r="AM73" s="69"/>
      <c r="AS73" s="69"/>
      <c r="AU73" s="3"/>
      <c r="AV73" s="69"/>
      <c r="AZ73" s="30"/>
    </row>
    <row r="74">
      <c r="B74" s="48" t="s">
        <v>266</v>
      </c>
      <c r="C74" s="1" t="s">
        <v>61</v>
      </c>
      <c r="D74" s="69"/>
      <c r="H74" s="69"/>
      <c r="O74" s="49"/>
      <c r="P74" s="69"/>
      <c r="S74" s="69"/>
      <c r="X74" s="69"/>
      <c r="AF74" s="69"/>
      <c r="AK74" s="69"/>
      <c r="AM74" s="69"/>
      <c r="AS74" s="69"/>
      <c r="AU74" s="3"/>
      <c r="AV74" s="69"/>
      <c r="AZ74" s="30"/>
    </row>
    <row r="75">
      <c r="B75" s="48" t="s">
        <v>267</v>
      </c>
      <c r="C75" s="1" t="s">
        <v>61</v>
      </c>
      <c r="D75" s="69"/>
      <c r="H75" s="69"/>
      <c r="O75" s="49"/>
      <c r="P75" s="69"/>
      <c r="S75" s="69"/>
      <c r="X75" s="69"/>
      <c r="AF75" s="69"/>
      <c r="AK75" s="69"/>
      <c r="AM75" s="69"/>
      <c r="AS75" s="69"/>
      <c r="AU75" s="3"/>
      <c r="AV75" s="69"/>
      <c r="AZ75" s="30"/>
    </row>
    <row r="76">
      <c r="B76" s="48" t="s">
        <v>268</v>
      </c>
      <c r="C76" s="1" t="s">
        <v>78</v>
      </c>
      <c r="D76" s="69"/>
      <c r="H76" s="69"/>
      <c r="O76" s="49"/>
      <c r="P76" s="69"/>
      <c r="S76" s="69"/>
      <c r="X76" s="69"/>
      <c r="AF76" s="69"/>
      <c r="AK76" s="69"/>
      <c r="AM76" s="69"/>
      <c r="AS76" s="69"/>
      <c r="AU76" s="3"/>
      <c r="AV76" s="69"/>
      <c r="AZ76" s="30"/>
    </row>
    <row r="77">
      <c r="C77" s="3"/>
      <c r="D77" s="69"/>
      <c r="H77" s="69"/>
      <c r="O77" s="49"/>
      <c r="P77" s="69"/>
      <c r="S77" s="69"/>
      <c r="X77" s="69"/>
      <c r="AF77" s="69"/>
      <c r="AK77" s="69"/>
      <c r="AM77" s="69"/>
      <c r="AS77" s="69"/>
      <c r="AU77" s="3"/>
      <c r="AV77" s="69"/>
      <c r="AZ77" s="30"/>
    </row>
    <row r="78">
      <c r="C78" s="3"/>
      <c r="D78" s="69"/>
      <c r="H78" s="69"/>
      <c r="O78" s="49"/>
      <c r="P78" s="69"/>
      <c r="S78" s="69"/>
      <c r="X78" s="69"/>
      <c r="AF78" s="69"/>
      <c r="AK78" s="69"/>
      <c r="AM78" s="69"/>
      <c r="AS78" s="69"/>
      <c r="AU78" s="3"/>
      <c r="AV78" s="69"/>
      <c r="AZ78" s="30"/>
    </row>
    <row r="79">
      <c r="C79" s="3"/>
      <c r="D79" s="69"/>
      <c r="H79" s="69"/>
      <c r="O79" s="49"/>
      <c r="P79" s="69"/>
      <c r="S79" s="69"/>
      <c r="X79" s="69"/>
      <c r="AF79" s="69"/>
      <c r="AK79" s="69"/>
      <c r="AM79" s="69"/>
      <c r="AS79" s="69"/>
      <c r="AU79" s="3"/>
      <c r="AV79" s="69"/>
      <c r="AZ79" s="30"/>
    </row>
    <row r="80">
      <c r="C80" s="3"/>
      <c r="D80" s="69"/>
      <c r="H80" s="69"/>
      <c r="O80" s="49"/>
      <c r="P80" s="69"/>
      <c r="S80" s="69"/>
      <c r="X80" s="69"/>
      <c r="AF80" s="69"/>
      <c r="AK80" s="69"/>
      <c r="AM80" s="69"/>
      <c r="AS80" s="69"/>
      <c r="AU80" s="3"/>
      <c r="AV80" s="69"/>
      <c r="AZ80" s="30"/>
    </row>
    <row r="81">
      <c r="C81" s="3"/>
      <c r="D81" s="69"/>
      <c r="H81" s="69"/>
      <c r="O81" s="49"/>
      <c r="P81" s="69"/>
      <c r="S81" s="69"/>
      <c r="X81" s="69"/>
      <c r="AF81" s="69"/>
      <c r="AK81" s="69"/>
      <c r="AM81" s="69"/>
      <c r="AS81" s="69"/>
      <c r="AU81" s="3"/>
      <c r="AV81" s="69"/>
      <c r="AZ81" s="30"/>
    </row>
    <row r="82">
      <c r="C82" s="3"/>
      <c r="D82" s="69"/>
      <c r="H82" s="69"/>
      <c r="O82" s="49"/>
      <c r="P82" s="69"/>
      <c r="S82" s="69"/>
      <c r="X82" s="69"/>
      <c r="AF82" s="69"/>
      <c r="AK82" s="69"/>
      <c r="AM82" s="69"/>
      <c r="AS82" s="69"/>
      <c r="AU82" s="3"/>
      <c r="AV82" s="69"/>
      <c r="AZ82" s="30"/>
    </row>
    <row r="83">
      <c r="C83" s="3"/>
      <c r="D83" s="69"/>
      <c r="H83" s="69"/>
      <c r="O83" s="49"/>
      <c r="P83" s="69"/>
      <c r="S83" s="69"/>
      <c r="X83" s="69"/>
      <c r="AF83" s="69"/>
      <c r="AK83" s="69"/>
      <c r="AM83" s="69"/>
      <c r="AS83" s="69"/>
      <c r="AU83" s="3"/>
      <c r="AV83" s="69"/>
      <c r="AZ83" s="30"/>
    </row>
    <row r="84">
      <c r="C84" s="3"/>
      <c r="D84" s="69"/>
      <c r="H84" s="69"/>
      <c r="O84" s="49"/>
      <c r="P84" s="69"/>
      <c r="S84" s="69"/>
      <c r="X84" s="69"/>
      <c r="AF84" s="69"/>
      <c r="AK84" s="69"/>
      <c r="AM84" s="69"/>
      <c r="AS84" s="69"/>
      <c r="AU84" s="3"/>
      <c r="AV84" s="69"/>
      <c r="AZ84" s="30"/>
    </row>
    <row r="85">
      <c r="C85" s="3"/>
      <c r="D85" s="69"/>
      <c r="H85" s="69"/>
      <c r="O85" s="49"/>
      <c r="P85" s="69"/>
      <c r="S85" s="69"/>
      <c r="X85" s="69"/>
      <c r="AF85" s="69"/>
      <c r="AK85" s="69"/>
      <c r="AM85" s="69"/>
      <c r="AS85" s="69"/>
      <c r="AU85" s="3"/>
      <c r="AV85" s="69"/>
      <c r="AZ85" s="30"/>
    </row>
    <row r="86">
      <c r="C86" s="3"/>
      <c r="D86" s="69"/>
      <c r="H86" s="69"/>
      <c r="O86" s="49"/>
      <c r="P86" s="69"/>
      <c r="S86" s="69"/>
      <c r="X86" s="69"/>
      <c r="AF86" s="69"/>
      <c r="AK86" s="69"/>
      <c r="AM86" s="69"/>
      <c r="AS86" s="69"/>
      <c r="AU86" s="3"/>
      <c r="AV86" s="69"/>
      <c r="AZ86" s="30"/>
    </row>
    <row r="87">
      <c r="C87" s="3"/>
      <c r="D87" s="69"/>
      <c r="H87" s="69"/>
      <c r="O87" s="49"/>
      <c r="P87" s="69"/>
      <c r="S87" s="69"/>
      <c r="X87" s="69"/>
      <c r="AF87" s="69"/>
      <c r="AK87" s="69"/>
      <c r="AM87" s="69"/>
      <c r="AS87" s="69"/>
      <c r="AU87" s="3"/>
      <c r="AV87" s="69"/>
      <c r="AZ87" s="30"/>
    </row>
    <row r="88">
      <c r="C88" s="3"/>
      <c r="D88" s="69"/>
      <c r="H88" s="69"/>
      <c r="O88" s="49"/>
      <c r="P88" s="69"/>
      <c r="S88" s="69"/>
      <c r="X88" s="69"/>
      <c r="AF88" s="69"/>
      <c r="AK88" s="69"/>
      <c r="AM88" s="69"/>
      <c r="AS88" s="69"/>
      <c r="AU88" s="3"/>
      <c r="AV88" s="69"/>
      <c r="AZ88" s="30"/>
    </row>
    <row r="89">
      <c r="C89" s="3"/>
      <c r="D89" s="69"/>
      <c r="H89" s="69"/>
      <c r="O89" s="49"/>
      <c r="P89" s="69"/>
      <c r="S89" s="69"/>
      <c r="X89" s="69"/>
      <c r="AF89" s="69"/>
      <c r="AK89" s="69"/>
      <c r="AM89" s="69"/>
      <c r="AS89" s="69"/>
      <c r="AU89" s="3"/>
      <c r="AV89" s="69"/>
      <c r="AZ89" s="30"/>
    </row>
    <row r="90">
      <c r="C90" s="3"/>
      <c r="D90" s="69"/>
      <c r="H90" s="69"/>
      <c r="O90" s="49"/>
      <c r="P90" s="69"/>
      <c r="S90" s="69"/>
      <c r="X90" s="69"/>
      <c r="AF90" s="69"/>
      <c r="AK90" s="69"/>
      <c r="AM90" s="69"/>
      <c r="AS90" s="69"/>
      <c r="AU90" s="3"/>
      <c r="AV90" s="69"/>
      <c r="AZ90" s="30"/>
    </row>
    <row r="91">
      <c r="C91" s="3"/>
      <c r="D91" s="69"/>
      <c r="H91" s="69"/>
      <c r="O91" s="49"/>
      <c r="P91" s="69"/>
      <c r="S91" s="69"/>
      <c r="X91" s="69"/>
      <c r="AF91" s="69"/>
      <c r="AK91" s="69"/>
      <c r="AM91" s="69"/>
      <c r="AS91" s="69"/>
      <c r="AU91" s="3"/>
      <c r="AV91" s="69"/>
      <c r="AZ91" s="30"/>
    </row>
    <row r="92">
      <c r="C92" s="3"/>
      <c r="D92" s="69"/>
      <c r="H92" s="69"/>
      <c r="O92" s="49"/>
      <c r="P92" s="69"/>
      <c r="S92" s="69"/>
      <c r="X92" s="69"/>
      <c r="AF92" s="69"/>
      <c r="AK92" s="69"/>
      <c r="AM92" s="69"/>
      <c r="AS92" s="69"/>
      <c r="AU92" s="3"/>
      <c r="AV92" s="69"/>
      <c r="AZ92" s="30"/>
    </row>
    <row r="93">
      <c r="C93" s="3"/>
      <c r="D93" s="69"/>
      <c r="H93" s="69"/>
      <c r="O93" s="49"/>
      <c r="P93" s="69"/>
      <c r="S93" s="69"/>
      <c r="X93" s="69"/>
      <c r="AF93" s="69"/>
      <c r="AK93" s="69"/>
      <c r="AM93" s="69"/>
      <c r="AS93" s="69"/>
      <c r="AU93" s="3"/>
      <c r="AV93" s="69"/>
      <c r="AZ93" s="30"/>
    </row>
    <row r="94">
      <c r="C94" s="3"/>
      <c r="D94" s="69"/>
      <c r="H94" s="69"/>
      <c r="O94" s="49"/>
      <c r="P94" s="69"/>
      <c r="S94" s="69"/>
      <c r="X94" s="69"/>
      <c r="AF94" s="69"/>
      <c r="AK94" s="69"/>
      <c r="AM94" s="69"/>
      <c r="AS94" s="69"/>
      <c r="AU94" s="3"/>
      <c r="AV94" s="69"/>
      <c r="AZ94" s="30"/>
    </row>
    <row r="95">
      <c r="C95" s="3"/>
      <c r="D95" s="69"/>
      <c r="H95" s="69"/>
      <c r="O95" s="49"/>
      <c r="P95" s="69"/>
      <c r="S95" s="69"/>
      <c r="X95" s="69"/>
      <c r="AF95" s="69"/>
      <c r="AK95" s="69"/>
      <c r="AM95" s="69"/>
      <c r="AS95" s="69"/>
      <c r="AU95" s="3"/>
      <c r="AV95" s="69"/>
      <c r="AZ95" s="30"/>
    </row>
    <row r="96">
      <c r="C96" s="3"/>
      <c r="D96" s="69"/>
      <c r="H96" s="69"/>
      <c r="O96" s="49"/>
      <c r="P96" s="69"/>
      <c r="S96" s="69"/>
      <c r="X96" s="69"/>
      <c r="AF96" s="69"/>
      <c r="AK96" s="69"/>
      <c r="AM96" s="69"/>
      <c r="AS96" s="69"/>
      <c r="AU96" s="3"/>
      <c r="AV96" s="69"/>
      <c r="AZ96" s="30"/>
    </row>
    <row r="97">
      <c r="C97" s="3"/>
      <c r="D97" s="69"/>
      <c r="H97" s="69"/>
      <c r="O97" s="49"/>
      <c r="P97" s="69"/>
      <c r="S97" s="69"/>
      <c r="X97" s="69"/>
      <c r="AF97" s="69"/>
      <c r="AK97" s="69"/>
      <c r="AM97" s="69"/>
      <c r="AS97" s="69"/>
      <c r="AU97" s="3"/>
      <c r="AV97" s="69"/>
      <c r="AZ97" s="30"/>
    </row>
    <row r="98">
      <c r="C98" s="3"/>
      <c r="D98" s="69"/>
      <c r="H98" s="69"/>
      <c r="O98" s="49"/>
      <c r="P98" s="69"/>
      <c r="S98" s="69"/>
      <c r="X98" s="69"/>
      <c r="AF98" s="69"/>
      <c r="AK98" s="69"/>
      <c r="AM98" s="69"/>
      <c r="AS98" s="69"/>
      <c r="AU98" s="3"/>
      <c r="AV98" s="69"/>
      <c r="AZ98" s="30"/>
    </row>
    <row r="99">
      <c r="C99" s="3"/>
      <c r="D99" s="69"/>
      <c r="H99" s="69"/>
      <c r="O99" s="49"/>
      <c r="P99" s="69"/>
      <c r="S99" s="69"/>
      <c r="X99" s="69"/>
      <c r="AF99" s="69"/>
      <c r="AK99" s="69"/>
      <c r="AM99" s="69"/>
      <c r="AS99" s="69"/>
      <c r="AU99" s="3"/>
      <c r="AV99" s="69"/>
      <c r="AZ99" s="30"/>
    </row>
    <row r="100">
      <c r="C100" s="3"/>
      <c r="D100" s="69"/>
      <c r="H100" s="69"/>
      <c r="O100" s="49"/>
      <c r="P100" s="69"/>
      <c r="S100" s="69"/>
      <c r="X100" s="69"/>
      <c r="AF100" s="69"/>
      <c r="AK100" s="69"/>
      <c r="AM100" s="69"/>
      <c r="AS100" s="69"/>
      <c r="AU100" s="3"/>
      <c r="AV100" s="69"/>
      <c r="AZ100" s="30"/>
    </row>
    <row r="101">
      <c r="C101" s="3"/>
      <c r="D101" s="69"/>
      <c r="H101" s="69"/>
      <c r="O101" s="49"/>
      <c r="P101" s="69"/>
      <c r="S101" s="69"/>
      <c r="X101" s="69"/>
      <c r="AF101" s="69"/>
      <c r="AK101" s="69"/>
      <c r="AM101" s="69"/>
      <c r="AS101" s="69"/>
      <c r="AU101" s="3"/>
      <c r="AV101" s="69"/>
      <c r="AZ101" s="30"/>
    </row>
    <row r="102">
      <c r="C102" s="3"/>
      <c r="D102" s="69"/>
      <c r="H102" s="69"/>
      <c r="O102" s="49"/>
      <c r="P102" s="69"/>
      <c r="S102" s="69"/>
      <c r="X102" s="69"/>
      <c r="AF102" s="69"/>
      <c r="AK102" s="69"/>
      <c r="AM102" s="69"/>
      <c r="AS102" s="69"/>
      <c r="AU102" s="3"/>
      <c r="AV102" s="69"/>
      <c r="AZ102" s="30"/>
    </row>
    <row r="103">
      <c r="C103" s="3"/>
      <c r="D103" s="69"/>
      <c r="H103" s="69"/>
      <c r="O103" s="49"/>
      <c r="P103" s="69"/>
      <c r="S103" s="69"/>
      <c r="X103" s="69"/>
      <c r="AF103" s="69"/>
      <c r="AK103" s="69"/>
      <c r="AM103" s="69"/>
      <c r="AS103" s="69"/>
      <c r="AU103" s="3"/>
      <c r="AV103" s="69"/>
      <c r="AZ103" s="30"/>
    </row>
    <row r="104">
      <c r="C104" s="3"/>
      <c r="D104" s="69"/>
      <c r="H104" s="69"/>
      <c r="O104" s="49"/>
      <c r="P104" s="69"/>
      <c r="S104" s="69"/>
      <c r="X104" s="69"/>
      <c r="AF104" s="69"/>
      <c r="AK104" s="69"/>
      <c r="AM104" s="69"/>
      <c r="AS104" s="69"/>
      <c r="AU104" s="3"/>
      <c r="AV104" s="69"/>
      <c r="AZ104" s="30"/>
    </row>
    <row r="105">
      <c r="C105" s="3"/>
      <c r="D105" s="69"/>
      <c r="H105" s="69"/>
      <c r="O105" s="49"/>
      <c r="P105" s="69"/>
      <c r="S105" s="69"/>
      <c r="X105" s="69"/>
      <c r="AF105" s="69"/>
      <c r="AK105" s="69"/>
      <c r="AM105" s="69"/>
      <c r="AS105" s="69"/>
      <c r="AU105" s="3"/>
      <c r="AV105" s="69"/>
      <c r="AZ105" s="30"/>
    </row>
    <row r="106">
      <c r="C106" s="3"/>
      <c r="D106" s="69"/>
      <c r="H106" s="69"/>
      <c r="O106" s="49"/>
      <c r="P106" s="69"/>
      <c r="S106" s="69"/>
      <c r="X106" s="69"/>
      <c r="AF106" s="69"/>
      <c r="AK106" s="69"/>
      <c r="AM106" s="69"/>
      <c r="AS106" s="69"/>
      <c r="AU106" s="3"/>
      <c r="AV106" s="69"/>
      <c r="AZ106" s="30"/>
    </row>
    <row r="107">
      <c r="C107" s="3"/>
      <c r="D107" s="69"/>
      <c r="H107" s="69"/>
      <c r="O107" s="49"/>
      <c r="P107" s="69"/>
      <c r="S107" s="69"/>
      <c r="X107" s="69"/>
      <c r="AF107" s="69"/>
      <c r="AK107" s="69"/>
      <c r="AM107" s="69"/>
      <c r="AS107" s="69"/>
      <c r="AU107" s="3"/>
      <c r="AV107" s="69"/>
      <c r="AZ107" s="30"/>
    </row>
    <row r="108">
      <c r="C108" s="3"/>
      <c r="D108" s="69"/>
      <c r="H108" s="69"/>
      <c r="O108" s="49"/>
      <c r="P108" s="69"/>
      <c r="S108" s="69"/>
      <c r="X108" s="69"/>
      <c r="AF108" s="69"/>
      <c r="AK108" s="69"/>
      <c r="AM108" s="69"/>
      <c r="AS108" s="69"/>
      <c r="AU108" s="3"/>
      <c r="AV108" s="69"/>
      <c r="AZ108" s="30"/>
    </row>
    <row r="109">
      <c r="C109" s="3"/>
      <c r="D109" s="69"/>
      <c r="H109" s="69"/>
      <c r="O109" s="49"/>
      <c r="P109" s="69"/>
      <c r="S109" s="69"/>
      <c r="X109" s="69"/>
      <c r="AF109" s="69"/>
      <c r="AK109" s="69"/>
      <c r="AM109" s="69"/>
      <c r="AS109" s="69"/>
      <c r="AU109" s="3"/>
      <c r="AV109" s="69"/>
      <c r="AZ109" s="30"/>
    </row>
    <row r="110">
      <c r="C110" s="3"/>
      <c r="D110" s="69"/>
      <c r="H110" s="69"/>
      <c r="O110" s="49"/>
      <c r="P110" s="69"/>
      <c r="S110" s="69"/>
      <c r="X110" s="69"/>
      <c r="AF110" s="69"/>
      <c r="AK110" s="69"/>
      <c r="AM110" s="69"/>
      <c r="AS110" s="69"/>
      <c r="AU110" s="3"/>
      <c r="AV110" s="69"/>
      <c r="AZ110" s="30"/>
    </row>
    <row r="111">
      <c r="C111" s="3"/>
      <c r="D111" s="69"/>
      <c r="H111" s="69"/>
      <c r="O111" s="49"/>
      <c r="P111" s="69"/>
      <c r="S111" s="69"/>
      <c r="X111" s="69"/>
      <c r="AF111" s="69"/>
      <c r="AK111" s="69"/>
      <c r="AM111" s="69"/>
      <c r="AS111" s="69"/>
      <c r="AU111" s="3"/>
      <c r="AV111" s="69"/>
      <c r="AZ111" s="30"/>
    </row>
    <row r="112">
      <c r="C112" s="3"/>
      <c r="D112" s="69"/>
      <c r="H112" s="69"/>
      <c r="O112" s="49"/>
      <c r="P112" s="69"/>
      <c r="S112" s="69"/>
      <c r="X112" s="69"/>
      <c r="AF112" s="69"/>
      <c r="AK112" s="69"/>
      <c r="AM112" s="69"/>
      <c r="AS112" s="69"/>
      <c r="AU112" s="3"/>
      <c r="AV112" s="69"/>
      <c r="AZ112" s="30"/>
    </row>
    <row r="113">
      <c r="C113" s="3"/>
      <c r="D113" s="69"/>
      <c r="H113" s="69"/>
      <c r="O113" s="49"/>
      <c r="P113" s="69"/>
      <c r="S113" s="69"/>
      <c r="X113" s="69"/>
      <c r="AF113" s="69"/>
      <c r="AK113" s="69"/>
      <c r="AM113" s="69"/>
      <c r="AS113" s="69"/>
      <c r="AU113" s="3"/>
      <c r="AV113" s="69"/>
      <c r="AZ113" s="30"/>
    </row>
    <row r="114">
      <c r="C114" s="3"/>
      <c r="D114" s="69"/>
      <c r="H114" s="69"/>
      <c r="O114" s="49"/>
      <c r="P114" s="69"/>
      <c r="S114" s="69"/>
      <c r="X114" s="69"/>
      <c r="AF114" s="69"/>
      <c r="AK114" s="69"/>
      <c r="AM114" s="69"/>
      <c r="AS114" s="69"/>
      <c r="AU114" s="3"/>
      <c r="AV114" s="69"/>
      <c r="AZ114" s="30"/>
    </row>
    <row r="115">
      <c r="C115" s="3"/>
      <c r="D115" s="69"/>
      <c r="H115" s="69"/>
      <c r="O115" s="49"/>
      <c r="P115" s="69"/>
      <c r="S115" s="69"/>
      <c r="X115" s="69"/>
      <c r="AF115" s="69"/>
      <c r="AK115" s="69"/>
      <c r="AM115" s="69"/>
      <c r="AS115" s="69"/>
      <c r="AU115" s="3"/>
      <c r="AV115" s="69"/>
      <c r="AZ115" s="30"/>
    </row>
    <row r="116">
      <c r="C116" s="3"/>
      <c r="D116" s="69"/>
      <c r="H116" s="69"/>
      <c r="O116" s="49"/>
      <c r="P116" s="69"/>
      <c r="S116" s="69"/>
      <c r="X116" s="69"/>
      <c r="AF116" s="69"/>
      <c r="AK116" s="69"/>
      <c r="AM116" s="69"/>
      <c r="AS116" s="69"/>
      <c r="AU116" s="3"/>
      <c r="AV116" s="69"/>
      <c r="AZ116" s="30"/>
    </row>
    <row r="117">
      <c r="C117" s="3"/>
      <c r="D117" s="69"/>
      <c r="H117" s="69"/>
      <c r="O117" s="49"/>
      <c r="P117" s="69"/>
      <c r="S117" s="69"/>
      <c r="X117" s="69"/>
      <c r="AF117" s="69"/>
      <c r="AK117" s="69"/>
      <c r="AM117" s="69"/>
      <c r="AS117" s="69"/>
      <c r="AU117" s="3"/>
      <c r="AV117" s="69"/>
      <c r="AZ117" s="30"/>
    </row>
    <row r="118">
      <c r="C118" s="3"/>
      <c r="D118" s="69"/>
      <c r="H118" s="69"/>
      <c r="O118" s="49"/>
      <c r="P118" s="69"/>
      <c r="S118" s="69"/>
      <c r="X118" s="69"/>
      <c r="AF118" s="69"/>
      <c r="AK118" s="69"/>
      <c r="AM118" s="69"/>
      <c r="AS118" s="69"/>
      <c r="AU118" s="3"/>
      <c r="AV118" s="69"/>
      <c r="AZ118" s="30"/>
    </row>
    <row r="119">
      <c r="C119" s="3"/>
      <c r="D119" s="69"/>
      <c r="H119" s="69"/>
      <c r="O119" s="49"/>
      <c r="P119" s="69"/>
      <c r="S119" s="69"/>
      <c r="X119" s="69"/>
      <c r="AF119" s="69"/>
      <c r="AK119" s="69"/>
      <c r="AM119" s="69"/>
      <c r="AS119" s="69"/>
      <c r="AU119" s="3"/>
      <c r="AV119" s="69"/>
      <c r="AZ119" s="30"/>
    </row>
    <row r="120">
      <c r="C120" s="3"/>
      <c r="D120" s="69"/>
      <c r="H120" s="69"/>
      <c r="O120" s="49"/>
      <c r="P120" s="69"/>
      <c r="S120" s="69"/>
      <c r="X120" s="69"/>
      <c r="AF120" s="69"/>
      <c r="AK120" s="69"/>
      <c r="AM120" s="69"/>
      <c r="AS120" s="69"/>
      <c r="AU120" s="3"/>
      <c r="AV120" s="69"/>
      <c r="AZ120" s="30"/>
    </row>
    <row r="121">
      <c r="C121" s="3"/>
      <c r="D121" s="69"/>
      <c r="H121" s="69"/>
      <c r="O121" s="49"/>
      <c r="P121" s="69"/>
      <c r="S121" s="69"/>
      <c r="X121" s="69"/>
      <c r="AF121" s="69"/>
      <c r="AK121" s="69"/>
      <c r="AM121" s="69"/>
      <c r="AS121" s="69"/>
      <c r="AU121" s="3"/>
      <c r="AV121" s="69"/>
      <c r="AZ121" s="30"/>
    </row>
    <row r="122">
      <c r="C122" s="3"/>
      <c r="D122" s="69"/>
      <c r="H122" s="69"/>
      <c r="O122" s="49"/>
      <c r="P122" s="69"/>
      <c r="S122" s="69"/>
      <c r="X122" s="69"/>
      <c r="AF122" s="69"/>
      <c r="AK122" s="69"/>
      <c r="AM122" s="69"/>
      <c r="AS122" s="69"/>
      <c r="AU122" s="3"/>
      <c r="AV122" s="69"/>
      <c r="AZ122" s="30"/>
    </row>
    <row r="123">
      <c r="C123" s="3"/>
      <c r="D123" s="69"/>
      <c r="H123" s="69"/>
      <c r="O123" s="49"/>
      <c r="P123" s="69"/>
      <c r="S123" s="69"/>
      <c r="X123" s="69"/>
      <c r="AF123" s="69"/>
      <c r="AK123" s="69"/>
      <c r="AM123" s="69"/>
      <c r="AS123" s="69"/>
      <c r="AU123" s="3"/>
      <c r="AV123" s="69"/>
      <c r="AZ123" s="30"/>
    </row>
    <row r="124">
      <c r="C124" s="3"/>
      <c r="D124" s="69"/>
      <c r="H124" s="69"/>
      <c r="O124" s="49"/>
      <c r="P124" s="69"/>
      <c r="S124" s="69"/>
      <c r="X124" s="69"/>
      <c r="AF124" s="69"/>
      <c r="AK124" s="69"/>
      <c r="AM124" s="69"/>
      <c r="AS124" s="69"/>
      <c r="AU124" s="3"/>
      <c r="AV124" s="69"/>
      <c r="AZ124" s="30"/>
    </row>
    <row r="125">
      <c r="C125" s="3"/>
      <c r="D125" s="69"/>
      <c r="H125" s="69"/>
      <c r="O125" s="49"/>
      <c r="P125" s="69"/>
      <c r="S125" s="69"/>
      <c r="X125" s="69"/>
      <c r="AF125" s="69"/>
      <c r="AK125" s="69"/>
      <c r="AM125" s="69"/>
      <c r="AS125" s="69"/>
      <c r="AU125" s="3"/>
      <c r="AV125" s="69"/>
      <c r="AZ125" s="30"/>
    </row>
    <row r="126">
      <c r="C126" s="3"/>
      <c r="D126" s="69"/>
      <c r="H126" s="69"/>
      <c r="O126" s="49"/>
      <c r="P126" s="69"/>
      <c r="S126" s="69"/>
      <c r="X126" s="69"/>
      <c r="AF126" s="69"/>
      <c r="AK126" s="69"/>
      <c r="AM126" s="69"/>
      <c r="AS126" s="69"/>
      <c r="AU126" s="3"/>
      <c r="AV126" s="69"/>
      <c r="AZ126" s="30"/>
    </row>
    <row r="127">
      <c r="C127" s="3"/>
      <c r="D127" s="69"/>
      <c r="H127" s="69"/>
      <c r="O127" s="49"/>
      <c r="P127" s="69"/>
      <c r="S127" s="69"/>
      <c r="X127" s="69"/>
      <c r="AF127" s="69"/>
      <c r="AK127" s="69"/>
      <c r="AM127" s="69"/>
      <c r="AS127" s="69"/>
      <c r="AU127" s="3"/>
      <c r="AV127" s="69"/>
      <c r="AZ127" s="30"/>
    </row>
    <row r="128">
      <c r="C128" s="3"/>
      <c r="D128" s="69"/>
      <c r="H128" s="69"/>
      <c r="O128" s="49"/>
      <c r="P128" s="69"/>
      <c r="S128" s="69"/>
      <c r="X128" s="69"/>
      <c r="AF128" s="69"/>
      <c r="AK128" s="69"/>
      <c r="AM128" s="69"/>
      <c r="AS128" s="69"/>
      <c r="AU128" s="3"/>
      <c r="AV128" s="69"/>
      <c r="AZ128" s="30"/>
    </row>
    <row r="129">
      <c r="C129" s="3"/>
      <c r="D129" s="69"/>
      <c r="H129" s="69"/>
      <c r="O129" s="49"/>
      <c r="P129" s="69"/>
      <c r="S129" s="69"/>
      <c r="X129" s="69"/>
      <c r="AF129" s="69"/>
      <c r="AK129" s="69"/>
      <c r="AM129" s="69"/>
      <c r="AS129" s="69"/>
      <c r="AU129" s="3"/>
      <c r="AV129" s="69"/>
      <c r="AZ129" s="30"/>
    </row>
    <row r="130">
      <c r="C130" s="3"/>
      <c r="D130" s="69"/>
      <c r="H130" s="69"/>
      <c r="O130" s="49"/>
      <c r="P130" s="69"/>
      <c r="S130" s="69"/>
      <c r="X130" s="69"/>
      <c r="AF130" s="69"/>
      <c r="AK130" s="69"/>
      <c r="AM130" s="69"/>
      <c r="AS130" s="69"/>
      <c r="AU130" s="3"/>
      <c r="AV130" s="69"/>
      <c r="AZ130" s="30"/>
    </row>
    <row r="131">
      <c r="C131" s="3"/>
      <c r="D131" s="69"/>
      <c r="H131" s="69"/>
      <c r="O131" s="49"/>
      <c r="P131" s="69"/>
      <c r="S131" s="69"/>
      <c r="X131" s="69"/>
      <c r="AF131" s="69"/>
      <c r="AK131" s="69"/>
      <c r="AM131" s="69"/>
      <c r="AS131" s="69"/>
      <c r="AU131" s="3"/>
      <c r="AV131" s="69"/>
      <c r="AZ131" s="30"/>
    </row>
    <row r="132">
      <c r="C132" s="3"/>
      <c r="D132" s="69"/>
      <c r="H132" s="69"/>
      <c r="O132" s="49"/>
      <c r="P132" s="69"/>
      <c r="S132" s="69"/>
      <c r="X132" s="69"/>
      <c r="AF132" s="69"/>
      <c r="AK132" s="69"/>
      <c r="AM132" s="69"/>
      <c r="AS132" s="69"/>
      <c r="AU132" s="3"/>
      <c r="AV132" s="69"/>
      <c r="AZ132" s="30"/>
    </row>
    <row r="133">
      <c r="C133" s="3"/>
      <c r="D133" s="69"/>
      <c r="H133" s="69"/>
      <c r="O133" s="49"/>
      <c r="P133" s="69"/>
      <c r="S133" s="69"/>
      <c r="X133" s="69"/>
      <c r="AF133" s="69"/>
      <c r="AK133" s="69"/>
      <c r="AM133" s="69"/>
      <c r="AS133" s="69"/>
      <c r="AU133" s="3"/>
      <c r="AV133" s="69"/>
      <c r="AZ133" s="30"/>
    </row>
    <row r="134">
      <c r="C134" s="3"/>
      <c r="D134" s="69"/>
      <c r="H134" s="69"/>
      <c r="O134" s="49"/>
      <c r="P134" s="69"/>
      <c r="S134" s="69"/>
      <c r="X134" s="69"/>
      <c r="AF134" s="69"/>
      <c r="AK134" s="69"/>
      <c r="AM134" s="69"/>
      <c r="AS134" s="69"/>
      <c r="AU134" s="3"/>
      <c r="AV134" s="69"/>
      <c r="AZ134" s="30"/>
    </row>
    <row r="135">
      <c r="C135" s="3"/>
      <c r="D135" s="69"/>
      <c r="H135" s="69"/>
      <c r="O135" s="49"/>
      <c r="P135" s="69"/>
      <c r="S135" s="69"/>
      <c r="X135" s="69"/>
      <c r="AF135" s="69"/>
      <c r="AK135" s="69"/>
      <c r="AM135" s="69"/>
      <c r="AS135" s="69"/>
      <c r="AU135" s="3"/>
      <c r="AV135" s="69"/>
      <c r="AZ135" s="30"/>
    </row>
    <row r="136">
      <c r="C136" s="3"/>
      <c r="D136" s="69"/>
      <c r="H136" s="69"/>
      <c r="O136" s="49"/>
      <c r="P136" s="69"/>
      <c r="S136" s="69"/>
      <c r="X136" s="69"/>
      <c r="AF136" s="69"/>
      <c r="AK136" s="69"/>
      <c r="AM136" s="69"/>
      <c r="AS136" s="69"/>
      <c r="AU136" s="3"/>
      <c r="AV136" s="69"/>
      <c r="AZ136" s="30"/>
    </row>
    <row r="137">
      <c r="C137" s="3"/>
      <c r="D137" s="69"/>
      <c r="H137" s="69"/>
      <c r="O137" s="49"/>
      <c r="P137" s="69"/>
      <c r="S137" s="69"/>
      <c r="X137" s="69"/>
      <c r="AF137" s="69"/>
      <c r="AK137" s="69"/>
      <c r="AM137" s="69"/>
      <c r="AS137" s="69"/>
      <c r="AU137" s="3"/>
      <c r="AV137" s="69"/>
      <c r="AZ137" s="30"/>
    </row>
    <row r="138">
      <c r="C138" s="3"/>
      <c r="D138" s="69"/>
      <c r="H138" s="69"/>
      <c r="O138" s="49"/>
      <c r="P138" s="69"/>
      <c r="S138" s="69"/>
      <c r="X138" s="69"/>
      <c r="AF138" s="69"/>
      <c r="AK138" s="69"/>
      <c r="AM138" s="69"/>
      <c r="AS138" s="69"/>
      <c r="AU138" s="3"/>
      <c r="AV138" s="69"/>
      <c r="AZ138" s="30"/>
    </row>
    <row r="139">
      <c r="C139" s="3"/>
      <c r="D139" s="69"/>
      <c r="H139" s="69"/>
      <c r="O139" s="49"/>
      <c r="P139" s="69"/>
      <c r="S139" s="69"/>
      <c r="X139" s="69"/>
      <c r="AF139" s="69"/>
      <c r="AK139" s="69"/>
      <c r="AM139" s="69"/>
      <c r="AS139" s="69"/>
      <c r="AU139" s="3"/>
      <c r="AV139" s="69"/>
      <c r="AZ139" s="30"/>
    </row>
    <row r="140">
      <c r="C140" s="3"/>
      <c r="D140" s="69"/>
      <c r="H140" s="69"/>
      <c r="O140" s="49"/>
      <c r="P140" s="69"/>
      <c r="S140" s="69"/>
      <c r="X140" s="69"/>
      <c r="AF140" s="69"/>
      <c r="AK140" s="69"/>
      <c r="AM140" s="69"/>
      <c r="AS140" s="69"/>
      <c r="AU140" s="3"/>
      <c r="AV140" s="69"/>
      <c r="AZ140" s="30"/>
    </row>
    <row r="141">
      <c r="C141" s="3"/>
      <c r="D141" s="69"/>
      <c r="H141" s="69"/>
      <c r="O141" s="49"/>
      <c r="P141" s="69"/>
      <c r="S141" s="69"/>
      <c r="X141" s="69"/>
      <c r="AF141" s="69"/>
      <c r="AK141" s="69"/>
      <c r="AM141" s="69"/>
      <c r="AS141" s="69"/>
      <c r="AU141" s="3"/>
      <c r="AV141" s="69"/>
      <c r="AZ141" s="30"/>
    </row>
    <row r="142">
      <c r="C142" s="3"/>
      <c r="D142" s="69"/>
      <c r="H142" s="69"/>
      <c r="O142" s="49"/>
      <c r="P142" s="69"/>
      <c r="S142" s="69"/>
      <c r="X142" s="69"/>
      <c r="AF142" s="69"/>
      <c r="AK142" s="69"/>
      <c r="AM142" s="69"/>
      <c r="AS142" s="69"/>
      <c r="AU142" s="3"/>
      <c r="AV142" s="69"/>
      <c r="AZ142" s="30"/>
    </row>
    <row r="143">
      <c r="C143" s="3"/>
      <c r="D143" s="69"/>
      <c r="H143" s="69"/>
      <c r="O143" s="49"/>
      <c r="P143" s="69"/>
      <c r="S143" s="69"/>
      <c r="X143" s="69"/>
      <c r="AF143" s="69"/>
      <c r="AK143" s="69"/>
      <c r="AM143" s="69"/>
      <c r="AS143" s="69"/>
      <c r="AU143" s="3"/>
      <c r="AV143" s="69"/>
      <c r="AZ143" s="30"/>
    </row>
    <row r="144">
      <c r="C144" s="3"/>
      <c r="D144" s="69"/>
      <c r="H144" s="69"/>
      <c r="O144" s="49"/>
      <c r="P144" s="69"/>
      <c r="S144" s="69"/>
      <c r="X144" s="69"/>
      <c r="AF144" s="69"/>
      <c r="AK144" s="69"/>
      <c r="AM144" s="69"/>
      <c r="AS144" s="69"/>
      <c r="AU144" s="3"/>
      <c r="AV144" s="69"/>
      <c r="AZ144" s="30"/>
    </row>
    <row r="145">
      <c r="C145" s="3"/>
      <c r="D145" s="69"/>
      <c r="H145" s="69"/>
      <c r="O145" s="49"/>
      <c r="P145" s="69"/>
      <c r="S145" s="69"/>
      <c r="X145" s="69"/>
      <c r="AF145" s="69"/>
      <c r="AK145" s="69"/>
      <c r="AM145" s="69"/>
      <c r="AS145" s="69"/>
      <c r="AU145" s="3"/>
      <c r="AV145" s="69"/>
      <c r="AZ145" s="30"/>
    </row>
    <row r="146">
      <c r="C146" s="3"/>
      <c r="D146" s="69"/>
      <c r="H146" s="69"/>
      <c r="O146" s="49"/>
      <c r="P146" s="69"/>
      <c r="S146" s="69"/>
      <c r="X146" s="69"/>
      <c r="AF146" s="69"/>
      <c r="AK146" s="69"/>
      <c r="AM146" s="69"/>
      <c r="AS146" s="69"/>
      <c r="AU146" s="3"/>
      <c r="AV146" s="69"/>
      <c r="AZ146" s="30"/>
    </row>
    <row r="147">
      <c r="C147" s="3"/>
      <c r="D147" s="69"/>
      <c r="H147" s="69"/>
      <c r="O147" s="49"/>
      <c r="P147" s="69"/>
      <c r="S147" s="69"/>
      <c r="X147" s="69"/>
      <c r="AF147" s="69"/>
      <c r="AK147" s="69"/>
      <c r="AM147" s="69"/>
      <c r="AS147" s="69"/>
      <c r="AU147" s="3"/>
      <c r="AV147" s="69"/>
      <c r="AZ147" s="30"/>
    </row>
    <row r="148">
      <c r="C148" s="3"/>
      <c r="D148" s="69"/>
      <c r="H148" s="69"/>
      <c r="O148" s="49"/>
      <c r="P148" s="69"/>
      <c r="S148" s="69"/>
      <c r="X148" s="69"/>
      <c r="AF148" s="69"/>
      <c r="AK148" s="69"/>
      <c r="AM148" s="69"/>
      <c r="AS148" s="69"/>
      <c r="AU148" s="3"/>
      <c r="AV148" s="69"/>
      <c r="AZ148" s="30"/>
    </row>
    <row r="149">
      <c r="C149" s="3"/>
      <c r="D149" s="69"/>
      <c r="H149" s="69"/>
      <c r="O149" s="49"/>
      <c r="P149" s="69"/>
      <c r="S149" s="69"/>
      <c r="X149" s="69"/>
      <c r="AF149" s="69"/>
      <c r="AK149" s="69"/>
      <c r="AM149" s="69"/>
      <c r="AS149" s="69"/>
      <c r="AU149" s="3"/>
      <c r="AV149" s="69"/>
      <c r="AZ149" s="30"/>
    </row>
    <row r="150">
      <c r="C150" s="3"/>
      <c r="D150" s="69"/>
      <c r="H150" s="69"/>
      <c r="O150" s="49"/>
      <c r="P150" s="69"/>
      <c r="S150" s="69"/>
      <c r="X150" s="69"/>
      <c r="AF150" s="69"/>
      <c r="AK150" s="69"/>
      <c r="AM150" s="69"/>
      <c r="AS150" s="69"/>
      <c r="AU150" s="3"/>
      <c r="AV150" s="69"/>
      <c r="AZ150" s="30"/>
    </row>
    <row r="151">
      <c r="C151" s="3"/>
      <c r="D151" s="69"/>
      <c r="H151" s="69"/>
      <c r="O151" s="49"/>
      <c r="P151" s="69"/>
      <c r="S151" s="69"/>
      <c r="X151" s="69"/>
      <c r="AF151" s="69"/>
      <c r="AK151" s="69"/>
      <c r="AM151" s="69"/>
      <c r="AS151" s="69"/>
      <c r="AU151" s="3"/>
      <c r="AV151" s="69"/>
      <c r="AZ151" s="30"/>
    </row>
    <row r="152">
      <c r="C152" s="3"/>
      <c r="D152" s="69"/>
      <c r="H152" s="69"/>
      <c r="O152" s="49"/>
      <c r="P152" s="69"/>
      <c r="S152" s="69"/>
      <c r="X152" s="69"/>
      <c r="AF152" s="69"/>
      <c r="AK152" s="69"/>
      <c r="AM152" s="69"/>
      <c r="AS152" s="69"/>
      <c r="AU152" s="3"/>
      <c r="AV152" s="69"/>
      <c r="AZ152" s="30"/>
    </row>
    <row r="153">
      <c r="C153" s="3"/>
      <c r="D153" s="69"/>
      <c r="H153" s="69"/>
      <c r="O153" s="49"/>
      <c r="P153" s="69"/>
      <c r="S153" s="69"/>
      <c r="X153" s="69"/>
      <c r="AF153" s="69"/>
      <c r="AK153" s="69"/>
      <c r="AM153" s="69"/>
      <c r="AS153" s="69"/>
      <c r="AU153" s="3"/>
      <c r="AV153" s="69"/>
      <c r="AZ153" s="30"/>
    </row>
    <row r="154">
      <c r="C154" s="3"/>
      <c r="D154" s="69"/>
      <c r="H154" s="69"/>
      <c r="O154" s="49"/>
      <c r="P154" s="69"/>
      <c r="S154" s="69"/>
      <c r="X154" s="69"/>
      <c r="AF154" s="69"/>
      <c r="AK154" s="69"/>
      <c r="AM154" s="69"/>
      <c r="AS154" s="69"/>
      <c r="AU154" s="3"/>
      <c r="AV154" s="69"/>
      <c r="AZ154" s="30"/>
    </row>
    <row r="155">
      <c r="C155" s="3"/>
      <c r="D155" s="69"/>
      <c r="H155" s="69"/>
      <c r="O155" s="49"/>
      <c r="P155" s="69"/>
      <c r="S155" s="69"/>
      <c r="X155" s="69"/>
      <c r="AF155" s="69"/>
      <c r="AK155" s="69"/>
      <c r="AM155" s="69"/>
      <c r="AS155" s="69"/>
      <c r="AU155" s="3"/>
      <c r="AV155" s="69"/>
      <c r="AZ155" s="30"/>
    </row>
    <row r="156">
      <c r="C156" s="3"/>
      <c r="D156" s="69"/>
      <c r="H156" s="69"/>
      <c r="O156" s="49"/>
      <c r="P156" s="69"/>
      <c r="S156" s="69"/>
      <c r="X156" s="69"/>
      <c r="AF156" s="69"/>
      <c r="AK156" s="69"/>
      <c r="AM156" s="69"/>
      <c r="AS156" s="69"/>
      <c r="AU156" s="3"/>
      <c r="AV156" s="69"/>
      <c r="AZ156" s="30"/>
    </row>
    <row r="157">
      <c r="C157" s="3"/>
      <c r="D157" s="69"/>
      <c r="H157" s="69"/>
      <c r="O157" s="49"/>
      <c r="P157" s="69"/>
      <c r="S157" s="69"/>
      <c r="X157" s="69"/>
      <c r="AF157" s="69"/>
      <c r="AK157" s="69"/>
      <c r="AM157" s="69"/>
      <c r="AS157" s="69"/>
      <c r="AU157" s="3"/>
      <c r="AV157" s="69"/>
      <c r="AZ157" s="30"/>
    </row>
    <row r="158">
      <c r="C158" s="3"/>
      <c r="D158" s="69"/>
      <c r="H158" s="69"/>
      <c r="O158" s="49"/>
      <c r="P158" s="69"/>
      <c r="S158" s="69"/>
      <c r="X158" s="69"/>
      <c r="AF158" s="69"/>
      <c r="AK158" s="69"/>
      <c r="AM158" s="69"/>
      <c r="AS158" s="69"/>
      <c r="AU158" s="3"/>
      <c r="AV158" s="69"/>
      <c r="AZ158" s="30"/>
    </row>
    <row r="159">
      <c r="C159" s="3"/>
      <c r="D159" s="69"/>
      <c r="H159" s="69"/>
      <c r="O159" s="49"/>
      <c r="P159" s="69"/>
      <c r="S159" s="69"/>
      <c r="X159" s="69"/>
      <c r="AF159" s="69"/>
      <c r="AK159" s="69"/>
      <c r="AM159" s="69"/>
      <c r="AS159" s="69"/>
      <c r="AU159" s="3"/>
      <c r="AV159" s="69"/>
      <c r="AZ159" s="30"/>
    </row>
    <row r="160">
      <c r="C160" s="3"/>
      <c r="D160" s="69"/>
      <c r="H160" s="69"/>
      <c r="O160" s="49"/>
      <c r="P160" s="69"/>
      <c r="S160" s="69"/>
      <c r="X160" s="69"/>
      <c r="AF160" s="69"/>
      <c r="AK160" s="69"/>
      <c r="AM160" s="69"/>
      <c r="AS160" s="69"/>
      <c r="AU160" s="3"/>
      <c r="AV160" s="69"/>
      <c r="AZ160" s="30"/>
    </row>
    <row r="161">
      <c r="C161" s="3"/>
      <c r="D161" s="69"/>
      <c r="H161" s="69"/>
      <c r="O161" s="49"/>
      <c r="P161" s="69"/>
      <c r="S161" s="69"/>
      <c r="X161" s="69"/>
      <c r="AF161" s="69"/>
      <c r="AK161" s="69"/>
      <c r="AM161" s="69"/>
      <c r="AS161" s="69"/>
      <c r="AU161" s="3"/>
      <c r="AV161" s="69"/>
      <c r="AZ161" s="30"/>
    </row>
    <row r="162">
      <c r="C162" s="3"/>
      <c r="D162" s="69"/>
      <c r="H162" s="69"/>
      <c r="O162" s="49"/>
      <c r="P162" s="69"/>
      <c r="S162" s="69"/>
      <c r="X162" s="69"/>
      <c r="AF162" s="69"/>
      <c r="AK162" s="69"/>
      <c r="AM162" s="69"/>
      <c r="AS162" s="69"/>
      <c r="AU162" s="3"/>
      <c r="AV162" s="69"/>
      <c r="AZ162" s="30"/>
    </row>
    <row r="163">
      <c r="C163" s="3"/>
      <c r="D163" s="69"/>
      <c r="H163" s="69"/>
      <c r="O163" s="49"/>
      <c r="P163" s="69"/>
      <c r="S163" s="69"/>
      <c r="X163" s="69"/>
      <c r="AF163" s="69"/>
      <c r="AK163" s="69"/>
      <c r="AM163" s="69"/>
      <c r="AS163" s="69"/>
      <c r="AU163" s="3"/>
      <c r="AV163" s="69"/>
      <c r="AZ163" s="30"/>
    </row>
    <row r="164">
      <c r="C164" s="3"/>
      <c r="D164" s="69"/>
      <c r="H164" s="69"/>
      <c r="O164" s="49"/>
      <c r="P164" s="69"/>
      <c r="S164" s="69"/>
      <c r="X164" s="69"/>
      <c r="AF164" s="69"/>
      <c r="AK164" s="69"/>
      <c r="AM164" s="69"/>
      <c r="AS164" s="69"/>
      <c r="AU164" s="3"/>
      <c r="AV164" s="69"/>
      <c r="AZ164" s="30"/>
    </row>
    <row r="165">
      <c r="C165" s="3"/>
      <c r="D165" s="69"/>
      <c r="H165" s="69"/>
      <c r="O165" s="49"/>
      <c r="P165" s="69"/>
      <c r="S165" s="69"/>
      <c r="X165" s="69"/>
      <c r="AF165" s="69"/>
      <c r="AK165" s="69"/>
      <c r="AM165" s="69"/>
      <c r="AS165" s="69"/>
      <c r="AU165" s="3"/>
      <c r="AV165" s="69"/>
      <c r="AZ165" s="30"/>
    </row>
    <row r="166">
      <c r="C166" s="3"/>
      <c r="D166" s="69"/>
      <c r="H166" s="69"/>
      <c r="O166" s="49"/>
      <c r="P166" s="69"/>
      <c r="S166" s="69"/>
      <c r="X166" s="69"/>
      <c r="AF166" s="69"/>
      <c r="AK166" s="69"/>
      <c r="AM166" s="69"/>
      <c r="AS166" s="69"/>
      <c r="AU166" s="3"/>
      <c r="AV166" s="69"/>
      <c r="AZ166" s="30"/>
    </row>
    <row r="167">
      <c r="C167" s="3"/>
      <c r="D167" s="69"/>
      <c r="H167" s="69"/>
      <c r="O167" s="49"/>
      <c r="P167" s="69"/>
      <c r="S167" s="69"/>
      <c r="X167" s="69"/>
      <c r="AF167" s="69"/>
      <c r="AK167" s="69"/>
      <c r="AM167" s="69"/>
      <c r="AS167" s="69"/>
      <c r="AU167" s="3"/>
      <c r="AV167" s="69"/>
      <c r="AZ167" s="30"/>
    </row>
    <row r="168">
      <c r="C168" s="3"/>
      <c r="D168" s="69"/>
      <c r="H168" s="69"/>
      <c r="O168" s="49"/>
      <c r="P168" s="69"/>
      <c r="S168" s="69"/>
      <c r="X168" s="69"/>
      <c r="AF168" s="69"/>
      <c r="AK168" s="69"/>
      <c r="AM168" s="69"/>
      <c r="AS168" s="69"/>
      <c r="AU168" s="3"/>
      <c r="AV168" s="69"/>
      <c r="AZ168" s="30"/>
    </row>
    <row r="169">
      <c r="C169" s="3"/>
      <c r="D169" s="69"/>
      <c r="H169" s="69"/>
      <c r="O169" s="49"/>
      <c r="P169" s="69"/>
      <c r="S169" s="69"/>
      <c r="X169" s="69"/>
      <c r="AF169" s="69"/>
      <c r="AK169" s="69"/>
      <c r="AM169" s="69"/>
      <c r="AS169" s="69"/>
      <c r="AU169" s="3"/>
      <c r="AV169" s="69"/>
      <c r="AZ169" s="30"/>
    </row>
    <row r="170">
      <c r="C170" s="3"/>
      <c r="D170" s="69"/>
      <c r="H170" s="69"/>
      <c r="O170" s="49"/>
      <c r="P170" s="69"/>
      <c r="S170" s="69"/>
      <c r="X170" s="69"/>
      <c r="AF170" s="69"/>
      <c r="AK170" s="69"/>
      <c r="AM170" s="69"/>
      <c r="AS170" s="69"/>
      <c r="AU170" s="3"/>
      <c r="AV170" s="69"/>
      <c r="AZ170" s="30"/>
    </row>
    <row r="171">
      <c r="C171" s="3"/>
      <c r="D171" s="69"/>
      <c r="H171" s="69"/>
      <c r="O171" s="49"/>
      <c r="P171" s="69"/>
      <c r="S171" s="69"/>
      <c r="X171" s="69"/>
      <c r="AF171" s="69"/>
      <c r="AK171" s="69"/>
      <c r="AM171" s="69"/>
      <c r="AS171" s="69"/>
      <c r="AU171" s="3"/>
      <c r="AV171" s="69"/>
      <c r="AZ171" s="30"/>
    </row>
    <row r="172">
      <c r="C172" s="3"/>
      <c r="D172" s="69"/>
      <c r="H172" s="69"/>
      <c r="O172" s="49"/>
      <c r="P172" s="69"/>
      <c r="S172" s="69"/>
      <c r="X172" s="69"/>
      <c r="AF172" s="69"/>
      <c r="AK172" s="69"/>
      <c r="AM172" s="69"/>
      <c r="AS172" s="69"/>
      <c r="AU172" s="3"/>
      <c r="AV172" s="69"/>
      <c r="AZ172" s="30"/>
    </row>
    <row r="173">
      <c r="C173" s="3"/>
      <c r="D173" s="69"/>
      <c r="H173" s="69"/>
      <c r="O173" s="49"/>
      <c r="P173" s="69"/>
      <c r="S173" s="69"/>
      <c r="X173" s="69"/>
      <c r="AF173" s="69"/>
      <c r="AK173" s="69"/>
      <c r="AM173" s="69"/>
      <c r="AS173" s="69"/>
      <c r="AU173" s="3"/>
      <c r="AV173" s="69"/>
      <c r="AZ173" s="30"/>
    </row>
    <row r="174">
      <c r="C174" s="3"/>
      <c r="D174" s="69"/>
      <c r="H174" s="69"/>
      <c r="O174" s="49"/>
      <c r="P174" s="69"/>
      <c r="S174" s="69"/>
      <c r="X174" s="69"/>
      <c r="AF174" s="69"/>
      <c r="AK174" s="69"/>
      <c r="AM174" s="69"/>
      <c r="AS174" s="69"/>
      <c r="AU174" s="3"/>
      <c r="AV174" s="69"/>
      <c r="AZ174" s="30"/>
    </row>
    <row r="175">
      <c r="C175" s="3"/>
      <c r="D175" s="69"/>
      <c r="H175" s="69"/>
      <c r="O175" s="49"/>
      <c r="P175" s="69"/>
      <c r="S175" s="69"/>
      <c r="X175" s="69"/>
      <c r="AF175" s="69"/>
      <c r="AK175" s="69"/>
      <c r="AM175" s="69"/>
      <c r="AS175" s="69"/>
      <c r="AU175" s="3"/>
      <c r="AV175" s="69"/>
      <c r="AZ175" s="30"/>
    </row>
    <row r="176">
      <c r="C176" s="3"/>
      <c r="D176" s="69"/>
      <c r="H176" s="69"/>
      <c r="O176" s="49"/>
      <c r="P176" s="69"/>
      <c r="S176" s="69"/>
      <c r="X176" s="69"/>
      <c r="AF176" s="69"/>
      <c r="AK176" s="69"/>
      <c r="AM176" s="69"/>
      <c r="AS176" s="69"/>
      <c r="AU176" s="3"/>
      <c r="AV176" s="69"/>
      <c r="AZ176" s="30"/>
    </row>
    <row r="177">
      <c r="C177" s="3"/>
      <c r="D177" s="69"/>
      <c r="H177" s="69"/>
      <c r="O177" s="49"/>
      <c r="P177" s="69"/>
      <c r="S177" s="69"/>
      <c r="X177" s="69"/>
      <c r="AF177" s="69"/>
      <c r="AK177" s="69"/>
      <c r="AM177" s="69"/>
      <c r="AS177" s="69"/>
      <c r="AU177" s="3"/>
      <c r="AV177" s="69"/>
      <c r="AZ177" s="30"/>
    </row>
    <row r="178">
      <c r="C178" s="3"/>
      <c r="D178" s="69"/>
      <c r="H178" s="69"/>
      <c r="O178" s="49"/>
      <c r="P178" s="69"/>
      <c r="S178" s="69"/>
      <c r="X178" s="69"/>
      <c r="AF178" s="69"/>
      <c r="AK178" s="69"/>
      <c r="AM178" s="69"/>
      <c r="AS178" s="69"/>
      <c r="AU178" s="3"/>
      <c r="AV178" s="69"/>
      <c r="AZ178" s="30"/>
    </row>
    <row r="179">
      <c r="C179" s="3"/>
      <c r="D179" s="69"/>
      <c r="H179" s="69"/>
      <c r="O179" s="49"/>
      <c r="P179" s="69"/>
      <c r="S179" s="69"/>
      <c r="X179" s="69"/>
      <c r="AF179" s="69"/>
      <c r="AK179" s="69"/>
      <c r="AM179" s="69"/>
      <c r="AS179" s="69"/>
      <c r="AU179" s="3"/>
      <c r="AV179" s="69"/>
      <c r="AZ179" s="30"/>
    </row>
    <row r="180">
      <c r="C180" s="3"/>
      <c r="D180" s="69"/>
      <c r="H180" s="69"/>
      <c r="O180" s="49"/>
      <c r="P180" s="69"/>
      <c r="S180" s="69"/>
      <c r="X180" s="69"/>
      <c r="AF180" s="69"/>
      <c r="AK180" s="69"/>
      <c r="AM180" s="69"/>
      <c r="AS180" s="69"/>
      <c r="AU180" s="3"/>
      <c r="AV180" s="69"/>
      <c r="AZ180" s="30"/>
    </row>
    <row r="181">
      <c r="C181" s="3"/>
      <c r="D181" s="69"/>
      <c r="H181" s="69"/>
      <c r="O181" s="49"/>
      <c r="P181" s="69"/>
      <c r="S181" s="69"/>
      <c r="X181" s="69"/>
      <c r="AF181" s="69"/>
      <c r="AK181" s="69"/>
      <c r="AM181" s="69"/>
      <c r="AS181" s="69"/>
      <c r="AU181" s="3"/>
      <c r="AV181" s="69"/>
      <c r="AZ181" s="30"/>
    </row>
    <row r="182">
      <c r="C182" s="3"/>
      <c r="D182" s="69"/>
      <c r="H182" s="69"/>
      <c r="O182" s="49"/>
      <c r="P182" s="69"/>
      <c r="S182" s="69"/>
      <c r="X182" s="69"/>
      <c r="AF182" s="69"/>
      <c r="AK182" s="69"/>
      <c r="AM182" s="69"/>
      <c r="AS182" s="69"/>
      <c r="AU182" s="3"/>
      <c r="AV182" s="69"/>
      <c r="AZ182" s="30"/>
    </row>
    <row r="183">
      <c r="C183" s="3"/>
      <c r="D183" s="69"/>
      <c r="H183" s="69"/>
      <c r="O183" s="49"/>
      <c r="P183" s="69"/>
      <c r="S183" s="69"/>
      <c r="X183" s="69"/>
      <c r="AF183" s="69"/>
      <c r="AK183" s="69"/>
      <c r="AM183" s="69"/>
      <c r="AS183" s="69"/>
      <c r="AU183" s="3"/>
      <c r="AV183" s="69"/>
      <c r="AZ183" s="30"/>
    </row>
    <row r="184">
      <c r="C184" s="3"/>
      <c r="D184" s="69"/>
      <c r="H184" s="69"/>
      <c r="O184" s="49"/>
      <c r="P184" s="69"/>
      <c r="S184" s="69"/>
      <c r="X184" s="69"/>
      <c r="AF184" s="69"/>
      <c r="AK184" s="69"/>
      <c r="AM184" s="69"/>
      <c r="AS184" s="69"/>
      <c r="AU184" s="3"/>
      <c r="AV184" s="69"/>
      <c r="AZ184" s="30"/>
    </row>
    <row r="185">
      <c r="C185" s="3"/>
      <c r="D185" s="69"/>
      <c r="H185" s="69"/>
      <c r="O185" s="49"/>
      <c r="P185" s="69"/>
      <c r="S185" s="69"/>
      <c r="X185" s="69"/>
      <c r="AF185" s="69"/>
      <c r="AK185" s="69"/>
      <c r="AM185" s="69"/>
      <c r="AS185" s="69"/>
      <c r="AU185" s="3"/>
      <c r="AV185" s="69"/>
      <c r="AZ185" s="30"/>
    </row>
    <row r="186">
      <c r="C186" s="3"/>
      <c r="D186" s="69"/>
      <c r="H186" s="69"/>
      <c r="O186" s="49"/>
      <c r="P186" s="69"/>
      <c r="S186" s="69"/>
      <c r="X186" s="69"/>
      <c r="AF186" s="69"/>
      <c r="AK186" s="69"/>
      <c r="AM186" s="69"/>
      <c r="AS186" s="69"/>
      <c r="AU186" s="3"/>
      <c r="AV186" s="69"/>
      <c r="AZ186" s="30"/>
    </row>
    <row r="187">
      <c r="C187" s="3"/>
      <c r="D187" s="69"/>
      <c r="H187" s="69"/>
      <c r="O187" s="49"/>
      <c r="P187" s="69"/>
      <c r="S187" s="69"/>
      <c r="X187" s="69"/>
      <c r="AF187" s="69"/>
      <c r="AK187" s="69"/>
      <c r="AM187" s="69"/>
      <c r="AS187" s="69"/>
      <c r="AU187" s="3"/>
      <c r="AV187" s="69"/>
      <c r="AZ187" s="30"/>
    </row>
    <row r="188">
      <c r="C188" s="3"/>
      <c r="D188" s="69"/>
      <c r="H188" s="69"/>
      <c r="O188" s="49"/>
      <c r="P188" s="69"/>
      <c r="S188" s="69"/>
      <c r="X188" s="69"/>
      <c r="AF188" s="69"/>
      <c r="AK188" s="69"/>
      <c r="AM188" s="69"/>
      <c r="AS188" s="69"/>
      <c r="AU188" s="3"/>
      <c r="AV188" s="69"/>
      <c r="AZ188" s="30"/>
    </row>
    <row r="189">
      <c r="C189" s="3"/>
      <c r="D189" s="69"/>
      <c r="H189" s="69"/>
      <c r="O189" s="49"/>
      <c r="P189" s="69"/>
      <c r="S189" s="69"/>
      <c r="X189" s="69"/>
      <c r="AF189" s="69"/>
      <c r="AK189" s="69"/>
      <c r="AM189" s="69"/>
      <c r="AS189" s="69"/>
      <c r="AU189" s="3"/>
      <c r="AV189" s="69"/>
      <c r="AZ189" s="30"/>
    </row>
    <row r="190">
      <c r="C190" s="3"/>
      <c r="D190" s="69"/>
      <c r="H190" s="69"/>
      <c r="O190" s="49"/>
      <c r="P190" s="69"/>
      <c r="S190" s="69"/>
      <c r="X190" s="69"/>
      <c r="AF190" s="69"/>
      <c r="AK190" s="69"/>
      <c r="AM190" s="69"/>
      <c r="AS190" s="69"/>
      <c r="AU190" s="3"/>
      <c r="AV190" s="69"/>
      <c r="AZ190" s="30"/>
    </row>
    <row r="191">
      <c r="C191" s="3"/>
      <c r="D191" s="69"/>
      <c r="H191" s="69"/>
      <c r="O191" s="49"/>
      <c r="P191" s="69"/>
      <c r="S191" s="69"/>
      <c r="X191" s="69"/>
      <c r="AF191" s="69"/>
      <c r="AK191" s="69"/>
      <c r="AM191" s="69"/>
      <c r="AS191" s="69"/>
      <c r="AU191" s="3"/>
      <c r="AV191" s="69"/>
      <c r="AZ191" s="30"/>
    </row>
    <row r="192">
      <c r="C192" s="3"/>
      <c r="D192" s="69"/>
      <c r="H192" s="69"/>
      <c r="O192" s="49"/>
      <c r="P192" s="69"/>
      <c r="S192" s="69"/>
      <c r="X192" s="69"/>
      <c r="AF192" s="69"/>
      <c r="AK192" s="69"/>
      <c r="AM192" s="69"/>
      <c r="AS192" s="69"/>
      <c r="AU192" s="3"/>
      <c r="AV192" s="69"/>
      <c r="AZ192" s="30"/>
    </row>
    <row r="193">
      <c r="C193" s="3"/>
      <c r="D193" s="69"/>
      <c r="H193" s="69"/>
      <c r="O193" s="49"/>
      <c r="P193" s="69"/>
      <c r="S193" s="69"/>
      <c r="X193" s="69"/>
      <c r="AF193" s="69"/>
      <c r="AK193" s="69"/>
      <c r="AM193" s="69"/>
      <c r="AS193" s="69"/>
      <c r="AU193" s="3"/>
      <c r="AV193" s="69"/>
      <c r="AZ193" s="30"/>
    </row>
    <row r="194">
      <c r="C194" s="3"/>
      <c r="D194" s="69"/>
      <c r="H194" s="69"/>
      <c r="O194" s="49"/>
      <c r="P194" s="69"/>
      <c r="S194" s="69"/>
      <c r="X194" s="69"/>
      <c r="AF194" s="69"/>
      <c r="AK194" s="69"/>
      <c r="AM194" s="69"/>
      <c r="AS194" s="69"/>
      <c r="AU194" s="3"/>
      <c r="AV194" s="69"/>
      <c r="AZ194" s="30"/>
    </row>
    <row r="195">
      <c r="C195" s="3"/>
      <c r="D195" s="69"/>
      <c r="H195" s="69"/>
      <c r="O195" s="49"/>
      <c r="P195" s="69"/>
      <c r="S195" s="69"/>
      <c r="X195" s="69"/>
      <c r="AF195" s="69"/>
      <c r="AK195" s="69"/>
      <c r="AM195" s="69"/>
      <c r="AS195" s="69"/>
      <c r="AU195" s="3"/>
      <c r="AV195" s="69"/>
      <c r="AZ195" s="30"/>
    </row>
    <row r="196">
      <c r="C196" s="3"/>
      <c r="D196" s="69"/>
      <c r="H196" s="69"/>
      <c r="O196" s="49"/>
      <c r="P196" s="69"/>
      <c r="S196" s="69"/>
      <c r="X196" s="69"/>
      <c r="AF196" s="69"/>
      <c r="AK196" s="69"/>
      <c r="AM196" s="69"/>
      <c r="AS196" s="69"/>
      <c r="AU196" s="3"/>
      <c r="AV196" s="69"/>
      <c r="AZ196" s="30"/>
    </row>
    <row r="197">
      <c r="C197" s="3"/>
      <c r="D197" s="69"/>
      <c r="H197" s="69"/>
      <c r="O197" s="49"/>
      <c r="P197" s="69"/>
      <c r="S197" s="69"/>
      <c r="X197" s="69"/>
      <c r="AF197" s="69"/>
      <c r="AK197" s="69"/>
      <c r="AM197" s="69"/>
      <c r="AS197" s="69"/>
      <c r="AU197" s="3"/>
      <c r="AV197" s="69"/>
      <c r="AZ197" s="30"/>
    </row>
    <row r="198">
      <c r="C198" s="3"/>
      <c r="D198" s="69"/>
      <c r="H198" s="69"/>
      <c r="O198" s="49"/>
      <c r="P198" s="69"/>
      <c r="S198" s="69"/>
      <c r="X198" s="69"/>
      <c r="AF198" s="69"/>
      <c r="AK198" s="69"/>
      <c r="AM198" s="69"/>
      <c r="AS198" s="69"/>
      <c r="AU198" s="3"/>
      <c r="AV198" s="69"/>
      <c r="AZ198" s="30"/>
    </row>
    <row r="199">
      <c r="C199" s="3"/>
      <c r="D199" s="69"/>
      <c r="H199" s="69"/>
      <c r="O199" s="49"/>
      <c r="P199" s="69"/>
      <c r="S199" s="69"/>
      <c r="X199" s="69"/>
      <c r="AF199" s="69"/>
      <c r="AK199" s="69"/>
      <c r="AM199" s="69"/>
      <c r="AS199" s="69"/>
      <c r="AU199" s="3"/>
      <c r="AV199" s="69"/>
      <c r="AZ199" s="30"/>
    </row>
    <row r="200">
      <c r="C200" s="3"/>
      <c r="D200" s="69"/>
      <c r="H200" s="69"/>
      <c r="O200" s="49"/>
      <c r="P200" s="69"/>
      <c r="S200" s="69"/>
      <c r="X200" s="69"/>
      <c r="AF200" s="69"/>
      <c r="AK200" s="69"/>
      <c r="AM200" s="69"/>
      <c r="AS200" s="69"/>
      <c r="AU200" s="3"/>
      <c r="AV200" s="69"/>
      <c r="AZ200" s="30"/>
    </row>
    <row r="201">
      <c r="C201" s="3"/>
      <c r="D201" s="69"/>
      <c r="H201" s="69"/>
      <c r="O201" s="49"/>
      <c r="P201" s="69"/>
      <c r="S201" s="69"/>
      <c r="X201" s="69"/>
      <c r="AF201" s="69"/>
      <c r="AK201" s="69"/>
      <c r="AM201" s="69"/>
      <c r="AS201" s="69"/>
      <c r="AU201" s="3"/>
      <c r="AV201" s="69"/>
      <c r="AZ201" s="30"/>
    </row>
    <row r="202">
      <c r="C202" s="3"/>
      <c r="D202" s="69"/>
      <c r="H202" s="69"/>
      <c r="O202" s="49"/>
      <c r="P202" s="69"/>
      <c r="S202" s="69"/>
      <c r="X202" s="69"/>
      <c r="AF202" s="69"/>
      <c r="AK202" s="69"/>
      <c r="AM202" s="69"/>
      <c r="AS202" s="69"/>
      <c r="AU202" s="3"/>
      <c r="AV202" s="69"/>
      <c r="AZ202" s="30"/>
    </row>
    <row r="203">
      <c r="C203" s="3"/>
      <c r="D203" s="69"/>
      <c r="H203" s="69"/>
      <c r="O203" s="49"/>
      <c r="P203" s="69"/>
      <c r="S203" s="69"/>
      <c r="X203" s="69"/>
      <c r="AF203" s="69"/>
      <c r="AK203" s="69"/>
      <c r="AM203" s="69"/>
      <c r="AS203" s="69"/>
      <c r="AU203" s="3"/>
      <c r="AV203" s="69"/>
      <c r="AZ203" s="30"/>
    </row>
    <row r="204">
      <c r="C204" s="3"/>
      <c r="D204" s="69"/>
      <c r="H204" s="69"/>
      <c r="O204" s="49"/>
      <c r="P204" s="69"/>
      <c r="S204" s="69"/>
      <c r="X204" s="69"/>
      <c r="AF204" s="69"/>
      <c r="AK204" s="69"/>
      <c r="AM204" s="69"/>
      <c r="AS204" s="69"/>
      <c r="AU204" s="3"/>
      <c r="AV204" s="69"/>
      <c r="AZ204" s="30"/>
    </row>
    <row r="205">
      <c r="C205" s="3"/>
      <c r="D205" s="69"/>
      <c r="H205" s="69"/>
      <c r="O205" s="49"/>
      <c r="P205" s="69"/>
      <c r="S205" s="69"/>
      <c r="X205" s="69"/>
      <c r="AF205" s="69"/>
      <c r="AK205" s="69"/>
      <c r="AM205" s="69"/>
      <c r="AS205" s="69"/>
      <c r="AU205" s="3"/>
      <c r="AV205" s="69"/>
      <c r="AZ205" s="30"/>
    </row>
    <row r="206">
      <c r="C206" s="3"/>
      <c r="D206" s="69"/>
      <c r="H206" s="69"/>
      <c r="O206" s="49"/>
      <c r="P206" s="69"/>
      <c r="S206" s="69"/>
      <c r="X206" s="69"/>
      <c r="AF206" s="69"/>
      <c r="AK206" s="69"/>
      <c r="AM206" s="69"/>
      <c r="AS206" s="69"/>
      <c r="AU206" s="3"/>
      <c r="AV206" s="69"/>
      <c r="AZ206" s="30"/>
    </row>
    <row r="207">
      <c r="C207" s="3"/>
      <c r="D207" s="69"/>
      <c r="H207" s="69"/>
      <c r="O207" s="49"/>
      <c r="P207" s="69"/>
      <c r="S207" s="69"/>
      <c r="X207" s="69"/>
      <c r="AF207" s="69"/>
      <c r="AK207" s="69"/>
      <c r="AM207" s="69"/>
      <c r="AS207" s="69"/>
      <c r="AU207" s="3"/>
      <c r="AV207" s="69"/>
      <c r="AZ207" s="30"/>
    </row>
    <row r="208">
      <c r="C208" s="3"/>
      <c r="D208" s="69"/>
      <c r="H208" s="69"/>
      <c r="O208" s="49"/>
      <c r="P208" s="69"/>
      <c r="S208" s="69"/>
      <c r="X208" s="69"/>
      <c r="AF208" s="69"/>
      <c r="AK208" s="69"/>
      <c r="AM208" s="69"/>
      <c r="AS208" s="69"/>
      <c r="AU208" s="3"/>
      <c r="AV208" s="69"/>
      <c r="AZ208" s="30"/>
    </row>
    <row r="209">
      <c r="C209" s="3"/>
      <c r="D209" s="69"/>
      <c r="H209" s="69"/>
      <c r="O209" s="49"/>
      <c r="P209" s="69"/>
      <c r="S209" s="69"/>
      <c r="X209" s="69"/>
      <c r="AF209" s="69"/>
      <c r="AK209" s="69"/>
      <c r="AM209" s="69"/>
      <c r="AS209" s="69"/>
      <c r="AU209" s="3"/>
      <c r="AV209" s="69"/>
      <c r="AZ209" s="30"/>
    </row>
    <row r="210">
      <c r="C210" s="3"/>
      <c r="D210" s="69"/>
      <c r="H210" s="69"/>
      <c r="O210" s="49"/>
      <c r="P210" s="69"/>
      <c r="S210" s="69"/>
      <c r="X210" s="69"/>
      <c r="AF210" s="69"/>
      <c r="AK210" s="69"/>
      <c r="AM210" s="69"/>
      <c r="AS210" s="69"/>
      <c r="AU210" s="3"/>
      <c r="AV210" s="69"/>
      <c r="AZ210" s="30"/>
    </row>
    <row r="211">
      <c r="C211" s="3"/>
      <c r="D211" s="69"/>
      <c r="H211" s="69"/>
      <c r="O211" s="49"/>
      <c r="P211" s="69"/>
      <c r="S211" s="69"/>
      <c r="X211" s="69"/>
      <c r="AF211" s="69"/>
      <c r="AK211" s="69"/>
      <c r="AM211" s="69"/>
      <c r="AS211" s="69"/>
      <c r="AU211" s="3"/>
      <c r="AV211" s="69"/>
      <c r="AZ211" s="30"/>
    </row>
    <row r="212">
      <c r="C212" s="3"/>
      <c r="D212" s="69"/>
      <c r="H212" s="69"/>
      <c r="O212" s="49"/>
      <c r="P212" s="69"/>
      <c r="S212" s="69"/>
      <c r="X212" s="69"/>
      <c r="AF212" s="69"/>
      <c r="AK212" s="69"/>
      <c r="AM212" s="69"/>
      <c r="AS212" s="69"/>
      <c r="AU212" s="3"/>
      <c r="AV212" s="69"/>
      <c r="AZ212" s="30"/>
    </row>
    <row r="213">
      <c r="C213" s="3"/>
      <c r="D213" s="69"/>
      <c r="H213" s="69"/>
      <c r="O213" s="49"/>
      <c r="P213" s="69"/>
      <c r="S213" s="69"/>
      <c r="X213" s="69"/>
      <c r="AF213" s="69"/>
      <c r="AK213" s="69"/>
      <c r="AM213" s="69"/>
      <c r="AS213" s="69"/>
      <c r="AU213" s="3"/>
      <c r="AV213" s="69"/>
      <c r="AZ213" s="30"/>
    </row>
    <row r="214">
      <c r="C214" s="3"/>
      <c r="D214" s="69"/>
      <c r="H214" s="69"/>
      <c r="O214" s="49"/>
      <c r="P214" s="69"/>
      <c r="S214" s="69"/>
      <c r="X214" s="69"/>
      <c r="AF214" s="69"/>
      <c r="AK214" s="69"/>
      <c r="AM214" s="69"/>
      <c r="AS214" s="69"/>
      <c r="AU214" s="3"/>
      <c r="AV214" s="69"/>
      <c r="AZ214" s="30"/>
    </row>
    <row r="215">
      <c r="C215" s="3"/>
      <c r="D215" s="69"/>
      <c r="H215" s="69"/>
      <c r="O215" s="49"/>
      <c r="P215" s="69"/>
      <c r="S215" s="69"/>
      <c r="X215" s="69"/>
      <c r="AF215" s="69"/>
      <c r="AK215" s="69"/>
      <c r="AM215" s="69"/>
      <c r="AS215" s="69"/>
      <c r="AU215" s="3"/>
      <c r="AV215" s="69"/>
      <c r="AZ215" s="30"/>
    </row>
    <row r="216">
      <c r="C216" s="3"/>
      <c r="D216" s="69"/>
      <c r="H216" s="69"/>
      <c r="O216" s="49"/>
      <c r="P216" s="69"/>
      <c r="S216" s="69"/>
      <c r="X216" s="69"/>
      <c r="AF216" s="69"/>
      <c r="AK216" s="69"/>
      <c r="AM216" s="69"/>
      <c r="AS216" s="69"/>
      <c r="AU216" s="3"/>
      <c r="AV216" s="69"/>
      <c r="AZ216" s="30"/>
    </row>
    <row r="217">
      <c r="C217" s="3"/>
      <c r="D217" s="69"/>
      <c r="H217" s="69"/>
      <c r="O217" s="49"/>
      <c r="P217" s="69"/>
      <c r="S217" s="69"/>
      <c r="X217" s="69"/>
      <c r="AF217" s="69"/>
      <c r="AK217" s="69"/>
      <c r="AM217" s="69"/>
      <c r="AS217" s="69"/>
      <c r="AU217" s="3"/>
      <c r="AV217" s="69"/>
      <c r="AZ217" s="30"/>
    </row>
    <row r="218">
      <c r="C218" s="3"/>
      <c r="D218" s="69"/>
      <c r="H218" s="69"/>
      <c r="O218" s="49"/>
      <c r="P218" s="69"/>
      <c r="S218" s="69"/>
      <c r="X218" s="69"/>
      <c r="AF218" s="69"/>
      <c r="AK218" s="69"/>
      <c r="AM218" s="69"/>
      <c r="AS218" s="69"/>
      <c r="AU218" s="3"/>
      <c r="AV218" s="69"/>
      <c r="AZ218" s="30"/>
    </row>
    <row r="219">
      <c r="C219" s="3"/>
      <c r="D219" s="69"/>
      <c r="H219" s="69"/>
      <c r="O219" s="49"/>
      <c r="P219" s="69"/>
      <c r="S219" s="69"/>
      <c r="X219" s="69"/>
      <c r="AF219" s="69"/>
      <c r="AK219" s="69"/>
      <c r="AM219" s="69"/>
      <c r="AS219" s="69"/>
      <c r="AU219" s="3"/>
      <c r="AV219" s="69"/>
      <c r="AZ219" s="30"/>
    </row>
    <row r="220">
      <c r="C220" s="3"/>
      <c r="D220" s="69"/>
      <c r="H220" s="69"/>
      <c r="O220" s="49"/>
      <c r="P220" s="69"/>
      <c r="S220" s="69"/>
      <c r="X220" s="69"/>
      <c r="AF220" s="69"/>
      <c r="AK220" s="69"/>
      <c r="AM220" s="69"/>
      <c r="AS220" s="69"/>
      <c r="AU220" s="3"/>
      <c r="AV220" s="69"/>
      <c r="AZ220" s="30"/>
    </row>
    <row r="221">
      <c r="C221" s="3"/>
      <c r="D221" s="69"/>
      <c r="H221" s="69"/>
      <c r="O221" s="49"/>
      <c r="P221" s="69"/>
      <c r="S221" s="69"/>
      <c r="X221" s="69"/>
      <c r="AF221" s="69"/>
      <c r="AK221" s="69"/>
      <c r="AM221" s="69"/>
      <c r="AS221" s="69"/>
      <c r="AU221" s="3"/>
      <c r="AV221" s="69"/>
      <c r="AZ221" s="30"/>
    </row>
    <row r="222">
      <c r="C222" s="3"/>
      <c r="D222" s="69"/>
      <c r="H222" s="69"/>
      <c r="O222" s="49"/>
      <c r="P222" s="69"/>
      <c r="S222" s="69"/>
      <c r="X222" s="69"/>
      <c r="AF222" s="69"/>
      <c r="AK222" s="69"/>
      <c r="AM222" s="69"/>
      <c r="AS222" s="69"/>
      <c r="AU222" s="3"/>
      <c r="AV222" s="69"/>
      <c r="AZ222" s="30"/>
    </row>
    <row r="223">
      <c r="C223" s="3"/>
      <c r="D223" s="69"/>
      <c r="H223" s="69"/>
      <c r="O223" s="49"/>
      <c r="P223" s="69"/>
      <c r="S223" s="69"/>
      <c r="X223" s="69"/>
      <c r="AF223" s="69"/>
      <c r="AK223" s="69"/>
      <c r="AM223" s="69"/>
      <c r="AS223" s="69"/>
      <c r="AU223" s="3"/>
      <c r="AV223" s="69"/>
      <c r="AZ223" s="30"/>
    </row>
    <row r="224">
      <c r="C224" s="3"/>
      <c r="D224" s="69"/>
      <c r="H224" s="69"/>
      <c r="O224" s="49"/>
      <c r="P224" s="69"/>
      <c r="S224" s="69"/>
      <c r="X224" s="69"/>
      <c r="AF224" s="69"/>
      <c r="AK224" s="69"/>
      <c r="AM224" s="69"/>
      <c r="AS224" s="69"/>
      <c r="AU224" s="3"/>
      <c r="AV224" s="69"/>
      <c r="AZ224" s="30"/>
    </row>
    <row r="225">
      <c r="C225" s="3"/>
      <c r="D225" s="69"/>
      <c r="H225" s="69"/>
      <c r="O225" s="49"/>
      <c r="P225" s="69"/>
      <c r="S225" s="69"/>
      <c r="X225" s="69"/>
      <c r="AF225" s="69"/>
      <c r="AK225" s="69"/>
      <c r="AM225" s="69"/>
      <c r="AS225" s="69"/>
      <c r="AU225" s="3"/>
      <c r="AV225" s="69"/>
      <c r="AZ225" s="30"/>
    </row>
    <row r="226">
      <c r="C226" s="3"/>
      <c r="D226" s="69"/>
      <c r="H226" s="69"/>
      <c r="O226" s="49"/>
      <c r="P226" s="69"/>
      <c r="S226" s="69"/>
      <c r="X226" s="69"/>
      <c r="AF226" s="69"/>
      <c r="AK226" s="69"/>
      <c r="AM226" s="69"/>
      <c r="AS226" s="69"/>
      <c r="AU226" s="3"/>
      <c r="AV226" s="69"/>
      <c r="AZ226" s="30"/>
    </row>
    <row r="227">
      <c r="C227" s="3"/>
      <c r="D227" s="69"/>
      <c r="H227" s="69"/>
      <c r="O227" s="49"/>
      <c r="P227" s="69"/>
      <c r="S227" s="69"/>
      <c r="X227" s="69"/>
      <c r="AF227" s="69"/>
      <c r="AK227" s="69"/>
      <c r="AM227" s="69"/>
      <c r="AS227" s="69"/>
      <c r="AU227" s="3"/>
      <c r="AV227" s="69"/>
      <c r="AZ227" s="30"/>
    </row>
    <row r="228">
      <c r="C228" s="3"/>
      <c r="D228" s="69"/>
      <c r="H228" s="69"/>
      <c r="O228" s="49"/>
      <c r="P228" s="69"/>
      <c r="S228" s="69"/>
      <c r="X228" s="69"/>
      <c r="AF228" s="69"/>
      <c r="AK228" s="69"/>
      <c r="AM228" s="69"/>
      <c r="AS228" s="69"/>
      <c r="AU228" s="3"/>
      <c r="AV228" s="69"/>
      <c r="AZ228" s="30"/>
    </row>
    <row r="229">
      <c r="C229" s="3"/>
      <c r="D229" s="69"/>
      <c r="H229" s="69"/>
      <c r="O229" s="49"/>
      <c r="P229" s="69"/>
      <c r="S229" s="69"/>
      <c r="X229" s="69"/>
      <c r="AF229" s="69"/>
      <c r="AK229" s="69"/>
      <c r="AM229" s="69"/>
      <c r="AS229" s="69"/>
      <c r="AU229" s="3"/>
      <c r="AV229" s="69"/>
      <c r="AZ229" s="30"/>
    </row>
    <row r="230">
      <c r="C230" s="3"/>
      <c r="D230" s="69"/>
      <c r="H230" s="69"/>
      <c r="O230" s="49"/>
      <c r="P230" s="69"/>
      <c r="S230" s="69"/>
      <c r="X230" s="69"/>
      <c r="AF230" s="69"/>
      <c r="AK230" s="69"/>
      <c r="AM230" s="69"/>
      <c r="AS230" s="69"/>
      <c r="AU230" s="3"/>
      <c r="AV230" s="69"/>
      <c r="AZ230" s="30"/>
    </row>
    <row r="231">
      <c r="C231" s="3"/>
      <c r="D231" s="69"/>
      <c r="H231" s="69"/>
      <c r="O231" s="49"/>
      <c r="P231" s="69"/>
      <c r="S231" s="69"/>
      <c r="X231" s="69"/>
      <c r="AF231" s="69"/>
      <c r="AK231" s="69"/>
      <c r="AM231" s="69"/>
      <c r="AS231" s="69"/>
      <c r="AU231" s="3"/>
      <c r="AV231" s="69"/>
      <c r="AZ231" s="30"/>
    </row>
    <row r="232">
      <c r="C232" s="3"/>
      <c r="D232" s="69"/>
      <c r="H232" s="69"/>
      <c r="O232" s="49"/>
      <c r="P232" s="69"/>
      <c r="S232" s="69"/>
      <c r="X232" s="69"/>
      <c r="AF232" s="69"/>
      <c r="AK232" s="69"/>
      <c r="AM232" s="69"/>
      <c r="AS232" s="69"/>
      <c r="AU232" s="3"/>
      <c r="AV232" s="69"/>
      <c r="AZ232" s="30"/>
    </row>
    <row r="233">
      <c r="C233" s="3"/>
      <c r="D233" s="69"/>
      <c r="H233" s="69"/>
      <c r="O233" s="49"/>
      <c r="P233" s="69"/>
      <c r="S233" s="69"/>
      <c r="X233" s="69"/>
      <c r="AF233" s="69"/>
      <c r="AK233" s="69"/>
      <c r="AM233" s="69"/>
      <c r="AS233" s="69"/>
      <c r="AU233" s="3"/>
      <c r="AV233" s="69"/>
      <c r="AZ233" s="30"/>
    </row>
    <row r="234">
      <c r="C234" s="3"/>
      <c r="D234" s="69"/>
      <c r="H234" s="69"/>
      <c r="O234" s="49"/>
      <c r="P234" s="69"/>
      <c r="S234" s="69"/>
      <c r="X234" s="69"/>
      <c r="AF234" s="69"/>
      <c r="AK234" s="69"/>
      <c r="AM234" s="69"/>
      <c r="AS234" s="69"/>
      <c r="AU234" s="3"/>
      <c r="AV234" s="69"/>
      <c r="AZ234" s="30"/>
    </row>
    <row r="235">
      <c r="C235" s="3"/>
      <c r="D235" s="69"/>
      <c r="H235" s="69"/>
      <c r="O235" s="49"/>
      <c r="P235" s="69"/>
      <c r="S235" s="69"/>
      <c r="X235" s="69"/>
      <c r="AF235" s="69"/>
      <c r="AK235" s="69"/>
      <c r="AM235" s="69"/>
      <c r="AS235" s="69"/>
      <c r="AU235" s="3"/>
      <c r="AV235" s="69"/>
      <c r="AZ235" s="30"/>
    </row>
    <row r="236">
      <c r="C236" s="3"/>
      <c r="D236" s="69"/>
      <c r="H236" s="69"/>
      <c r="O236" s="49"/>
      <c r="P236" s="69"/>
      <c r="S236" s="69"/>
      <c r="X236" s="69"/>
      <c r="AF236" s="69"/>
      <c r="AK236" s="69"/>
      <c r="AM236" s="69"/>
      <c r="AS236" s="69"/>
      <c r="AU236" s="3"/>
      <c r="AV236" s="69"/>
      <c r="AZ236" s="30"/>
    </row>
    <row r="237">
      <c r="C237" s="3"/>
      <c r="D237" s="69"/>
      <c r="H237" s="69"/>
      <c r="O237" s="49"/>
      <c r="P237" s="69"/>
      <c r="S237" s="69"/>
      <c r="X237" s="69"/>
      <c r="AF237" s="69"/>
      <c r="AK237" s="69"/>
      <c r="AM237" s="69"/>
      <c r="AS237" s="69"/>
      <c r="AU237" s="3"/>
      <c r="AV237" s="69"/>
      <c r="AZ237" s="30"/>
    </row>
    <row r="238">
      <c r="C238" s="3"/>
      <c r="D238" s="69"/>
      <c r="H238" s="69"/>
      <c r="O238" s="49"/>
      <c r="P238" s="69"/>
      <c r="S238" s="69"/>
      <c r="X238" s="69"/>
      <c r="AF238" s="69"/>
      <c r="AK238" s="69"/>
      <c r="AM238" s="69"/>
      <c r="AS238" s="69"/>
      <c r="AU238" s="3"/>
      <c r="AV238" s="69"/>
      <c r="AZ238" s="30"/>
    </row>
    <row r="239">
      <c r="C239" s="3"/>
      <c r="D239" s="69"/>
      <c r="H239" s="69"/>
      <c r="O239" s="49"/>
      <c r="P239" s="69"/>
      <c r="S239" s="69"/>
      <c r="X239" s="69"/>
      <c r="AF239" s="69"/>
      <c r="AK239" s="69"/>
      <c r="AM239" s="69"/>
      <c r="AS239" s="69"/>
      <c r="AU239" s="3"/>
      <c r="AV239" s="69"/>
      <c r="AZ239" s="30"/>
    </row>
    <row r="240">
      <c r="C240" s="3"/>
      <c r="D240" s="69"/>
      <c r="H240" s="69"/>
      <c r="O240" s="49"/>
      <c r="P240" s="69"/>
      <c r="S240" s="69"/>
      <c r="X240" s="69"/>
      <c r="AF240" s="69"/>
      <c r="AK240" s="69"/>
      <c r="AM240" s="69"/>
      <c r="AS240" s="69"/>
      <c r="AU240" s="3"/>
      <c r="AV240" s="69"/>
      <c r="AZ240" s="30"/>
    </row>
    <row r="241">
      <c r="C241" s="3"/>
      <c r="D241" s="69"/>
      <c r="H241" s="69"/>
      <c r="O241" s="49"/>
      <c r="P241" s="69"/>
      <c r="S241" s="69"/>
      <c r="X241" s="69"/>
      <c r="AF241" s="69"/>
      <c r="AK241" s="69"/>
      <c r="AM241" s="69"/>
      <c r="AS241" s="69"/>
      <c r="AU241" s="3"/>
      <c r="AV241" s="69"/>
      <c r="AZ241" s="30"/>
    </row>
    <row r="242">
      <c r="C242" s="3"/>
      <c r="D242" s="69"/>
      <c r="H242" s="69"/>
      <c r="O242" s="49"/>
      <c r="P242" s="69"/>
      <c r="S242" s="69"/>
      <c r="X242" s="69"/>
      <c r="AF242" s="69"/>
      <c r="AK242" s="69"/>
      <c r="AM242" s="69"/>
      <c r="AS242" s="69"/>
      <c r="AU242" s="3"/>
      <c r="AV242" s="69"/>
      <c r="AZ242" s="30"/>
    </row>
    <row r="243">
      <c r="C243" s="3"/>
      <c r="D243" s="69"/>
      <c r="H243" s="69"/>
      <c r="O243" s="49"/>
      <c r="P243" s="69"/>
      <c r="S243" s="69"/>
      <c r="X243" s="69"/>
      <c r="AF243" s="69"/>
      <c r="AK243" s="69"/>
      <c r="AM243" s="69"/>
      <c r="AS243" s="69"/>
      <c r="AU243" s="3"/>
      <c r="AV243" s="69"/>
      <c r="AZ243" s="30"/>
    </row>
    <row r="244">
      <c r="C244" s="3"/>
      <c r="D244" s="69"/>
      <c r="H244" s="69"/>
      <c r="O244" s="49"/>
      <c r="P244" s="69"/>
      <c r="S244" s="69"/>
      <c r="X244" s="69"/>
      <c r="AF244" s="69"/>
      <c r="AK244" s="69"/>
      <c r="AM244" s="69"/>
      <c r="AS244" s="69"/>
      <c r="AU244" s="3"/>
      <c r="AV244" s="69"/>
      <c r="AZ244" s="30"/>
    </row>
    <row r="245">
      <c r="C245" s="3"/>
      <c r="D245" s="69"/>
      <c r="H245" s="69"/>
      <c r="O245" s="49"/>
      <c r="P245" s="69"/>
      <c r="S245" s="69"/>
      <c r="X245" s="69"/>
      <c r="AF245" s="69"/>
      <c r="AK245" s="69"/>
      <c r="AM245" s="69"/>
      <c r="AS245" s="69"/>
      <c r="AU245" s="3"/>
      <c r="AV245" s="69"/>
      <c r="AZ245" s="30"/>
    </row>
    <row r="246">
      <c r="C246" s="3"/>
      <c r="D246" s="69"/>
      <c r="H246" s="69"/>
      <c r="O246" s="49"/>
      <c r="P246" s="69"/>
      <c r="S246" s="69"/>
      <c r="X246" s="69"/>
      <c r="AF246" s="69"/>
      <c r="AK246" s="69"/>
      <c r="AM246" s="69"/>
      <c r="AS246" s="69"/>
      <c r="AU246" s="3"/>
      <c r="AV246" s="69"/>
      <c r="AZ246" s="30"/>
    </row>
    <row r="247">
      <c r="C247" s="3"/>
      <c r="D247" s="69"/>
      <c r="H247" s="69"/>
      <c r="O247" s="49"/>
      <c r="P247" s="69"/>
      <c r="S247" s="69"/>
      <c r="X247" s="69"/>
      <c r="AF247" s="69"/>
      <c r="AK247" s="69"/>
      <c r="AM247" s="69"/>
      <c r="AS247" s="69"/>
      <c r="AU247" s="3"/>
      <c r="AV247" s="69"/>
      <c r="AZ247" s="30"/>
    </row>
    <row r="248">
      <c r="C248" s="3"/>
      <c r="D248" s="69"/>
      <c r="H248" s="69"/>
      <c r="O248" s="49"/>
      <c r="P248" s="69"/>
      <c r="S248" s="69"/>
      <c r="X248" s="69"/>
      <c r="AF248" s="69"/>
      <c r="AK248" s="69"/>
      <c r="AM248" s="69"/>
      <c r="AS248" s="69"/>
      <c r="AU248" s="3"/>
      <c r="AV248" s="69"/>
      <c r="AZ248" s="30"/>
    </row>
    <row r="249">
      <c r="C249" s="3"/>
      <c r="D249" s="69"/>
      <c r="H249" s="69"/>
      <c r="O249" s="49"/>
      <c r="P249" s="69"/>
      <c r="S249" s="69"/>
      <c r="X249" s="69"/>
      <c r="AF249" s="69"/>
      <c r="AK249" s="69"/>
      <c r="AM249" s="69"/>
      <c r="AS249" s="69"/>
      <c r="AU249" s="3"/>
      <c r="AV249" s="69"/>
      <c r="AZ249" s="30"/>
    </row>
    <row r="250">
      <c r="C250" s="3"/>
      <c r="D250" s="69"/>
      <c r="H250" s="69"/>
      <c r="O250" s="49"/>
      <c r="P250" s="69"/>
      <c r="S250" s="69"/>
      <c r="X250" s="69"/>
      <c r="AF250" s="69"/>
      <c r="AK250" s="69"/>
      <c r="AM250" s="69"/>
      <c r="AS250" s="69"/>
      <c r="AU250" s="3"/>
      <c r="AV250" s="69"/>
      <c r="AZ250" s="30"/>
    </row>
    <row r="251">
      <c r="C251" s="3"/>
      <c r="D251" s="69"/>
      <c r="H251" s="69"/>
      <c r="O251" s="49"/>
      <c r="P251" s="69"/>
      <c r="S251" s="69"/>
      <c r="X251" s="69"/>
      <c r="AF251" s="69"/>
      <c r="AK251" s="69"/>
      <c r="AM251" s="69"/>
      <c r="AS251" s="69"/>
      <c r="AU251" s="3"/>
      <c r="AV251" s="69"/>
      <c r="AZ251" s="30"/>
    </row>
    <row r="252">
      <c r="C252" s="3"/>
      <c r="D252" s="69"/>
      <c r="H252" s="69"/>
      <c r="O252" s="49"/>
      <c r="P252" s="69"/>
      <c r="S252" s="69"/>
      <c r="X252" s="69"/>
      <c r="AF252" s="69"/>
      <c r="AK252" s="69"/>
      <c r="AM252" s="69"/>
      <c r="AS252" s="69"/>
      <c r="AU252" s="3"/>
      <c r="AV252" s="69"/>
      <c r="AZ252" s="30"/>
    </row>
    <row r="253">
      <c r="C253" s="3"/>
      <c r="D253" s="69"/>
      <c r="H253" s="69"/>
      <c r="O253" s="49"/>
      <c r="P253" s="69"/>
      <c r="S253" s="69"/>
      <c r="X253" s="69"/>
      <c r="AF253" s="69"/>
      <c r="AK253" s="69"/>
      <c r="AM253" s="69"/>
      <c r="AS253" s="69"/>
      <c r="AU253" s="3"/>
      <c r="AV253" s="69"/>
      <c r="AZ253" s="30"/>
    </row>
    <row r="254">
      <c r="C254" s="3"/>
      <c r="D254" s="69"/>
      <c r="H254" s="69"/>
      <c r="O254" s="49"/>
      <c r="P254" s="69"/>
      <c r="S254" s="69"/>
      <c r="X254" s="69"/>
      <c r="AF254" s="69"/>
      <c r="AK254" s="69"/>
      <c r="AM254" s="69"/>
      <c r="AS254" s="69"/>
      <c r="AU254" s="3"/>
      <c r="AV254" s="69"/>
      <c r="AZ254" s="30"/>
    </row>
    <row r="255">
      <c r="C255" s="3"/>
      <c r="D255" s="69"/>
      <c r="H255" s="69"/>
      <c r="O255" s="49"/>
      <c r="P255" s="69"/>
      <c r="S255" s="69"/>
      <c r="X255" s="69"/>
      <c r="AF255" s="69"/>
      <c r="AK255" s="69"/>
      <c r="AM255" s="69"/>
      <c r="AS255" s="69"/>
      <c r="AU255" s="3"/>
      <c r="AV255" s="69"/>
      <c r="AZ255" s="30"/>
    </row>
    <row r="256">
      <c r="C256" s="3"/>
      <c r="D256" s="69"/>
      <c r="H256" s="69"/>
      <c r="O256" s="49"/>
      <c r="P256" s="69"/>
      <c r="S256" s="69"/>
      <c r="X256" s="69"/>
      <c r="AF256" s="69"/>
      <c r="AK256" s="69"/>
      <c r="AM256" s="69"/>
      <c r="AS256" s="69"/>
      <c r="AU256" s="3"/>
      <c r="AV256" s="69"/>
      <c r="AZ256" s="30"/>
    </row>
    <row r="257">
      <c r="C257" s="3"/>
      <c r="D257" s="69"/>
      <c r="H257" s="69"/>
      <c r="O257" s="49"/>
      <c r="P257" s="69"/>
      <c r="S257" s="69"/>
      <c r="X257" s="69"/>
      <c r="AF257" s="69"/>
      <c r="AK257" s="69"/>
      <c r="AM257" s="69"/>
      <c r="AS257" s="69"/>
      <c r="AU257" s="3"/>
      <c r="AV257" s="69"/>
      <c r="AZ257" s="30"/>
    </row>
    <row r="258">
      <c r="C258" s="3"/>
      <c r="D258" s="69"/>
      <c r="H258" s="69"/>
      <c r="O258" s="49"/>
      <c r="P258" s="69"/>
      <c r="S258" s="69"/>
      <c r="X258" s="69"/>
      <c r="AF258" s="69"/>
      <c r="AK258" s="69"/>
      <c r="AM258" s="69"/>
      <c r="AS258" s="69"/>
      <c r="AU258" s="3"/>
      <c r="AV258" s="69"/>
      <c r="AZ258" s="30"/>
    </row>
    <row r="259">
      <c r="C259" s="3"/>
      <c r="D259" s="69"/>
      <c r="H259" s="69"/>
      <c r="O259" s="49"/>
      <c r="P259" s="69"/>
      <c r="S259" s="69"/>
      <c r="X259" s="69"/>
      <c r="AF259" s="69"/>
      <c r="AK259" s="69"/>
      <c r="AM259" s="69"/>
      <c r="AS259" s="69"/>
      <c r="AU259" s="3"/>
      <c r="AV259" s="69"/>
      <c r="AZ259" s="30"/>
    </row>
    <row r="260">
      <c r="C260" s="3"/>
      <c r="D260" s="69"/>
      <c r="H260" s="69"/>
      <c r="O260" s="49"/>
      <c r="P260" s="69"/>
      <c r="S260" s="69"/>
      <c r="X260" s="69"/>
      <c r="AF260" s="69"/>
      <c r="AK260" s="69"/>
      <c r="AM260" s="69"/>
      <c r="AS260" s="69"/>
      <c r="AU260" s="3"/>
      <c r="AV260" s="69"/>
      <c r="AZ260" s="30"/>
    </row>
    <row r="261">
      <c r="C261" s="3"/>
      <c r="D261" s="69"/>
      <c r="H261" s="69"/>
      <c r="O261" s="49"/>
      <c r="P261" s="69"/>
      <c r="S261" s="69"/>
      <c r="X261" s="69"/>
      <c r="AF261" s="69"/>
      <c r="AK261" s="69"/>
      <c r="AM261" s="69"/>
      <c r="AS261" s="69"/>
      <c r="AU261" s="3"/>
      <c r="AV261" s="69"/>
      <c r="AZ261" s="30"/>
    </row>
    <row r="262">
      <c r="C262" s="3"/>
      <c r="D262" s="69"/>
      <c r="H262" s="69"/>
      <c r="O262" s="49"/>
      <c r="P262" s="69"/>
      <c r="S262" s="69"/>
      <c r="X262" s="69"/>
      <c r="AF262" s="69"/>
      <c r="AK262" s="69"/>
      <c r="AM262" s="69"/>
      <c r="AS262" s="69"/>
      <c r="AU262" s="3"/>
      <c r="AV262" s="69"/>
      <c r="AZ262" s="30"/>
    </row>
    <row r="263">
      <c r="C263" s="3"/>
      <c r="D263" s="69"/>
      <c r="H263" s="69"/>
      <c r="O263" s="49"/>
      <c r="P263" s="69"/>
      <c r="S263" s="69"/>
      <c r="X263" s="69"/>
      <c r="AF263" s="69"/>
      <c r="AK263" s="69"/>
      <c r="AM263" s="69"/>
      <c r="AS263" s="69"/>
      <c r="AU263" s="3"/>
      <c r="AV263" s="69"/>
      <c r="AZ263" s="30"/>
    </row>
    <row r="264">
      <c r="C264" s="3"/>
      <c r="D264" s="69"/>
      <c r="H264" s="69"/>
      <c r="O264" s="49"/>
      <c r="P264" s="69"/>
      <c r="S264" s="69"/>
      <c r="X264" s="69"/>
      <c r="AF264" s="69"/>
      <c r="AK264" s="69"/>
      <c r="AM264" s="69"/>
      <c r="AS264" s="69"/>
      <c r="AU264" s="3"/>
      <c r="AV264" s="69"/>
      <c r="AZ264" s="30"/>
    </row>
    <row r="265">
      <c r="C265" s="3"/>
      <c r="D265" s="69"/>
      <c r="H265" s="69"/>
      <c r="O265" s="49"/>
      <c r="P265" s="69"/>
      <c r="S265" s="69"/>
      <c r="X265" s="69"/>
      <c r="AF265" s="69"/>
      <c r="AK265" s="69"/>
      <c r="AM265" s="69"/>
      <c r="AS265" s="69"/>
      <c r="AU265" s="3"/>
      <c r="AV265" s="69"/>
      <c r="AZ265" s="30"/>
    </row>
    <row r="266">
      <c r="C266" s="3"/>
      <c r="D266" s="69"/>
      <c r="H266" s="69"/>
      <c r="O266" s="49"/>
      <c r="P266" s="69"/>
      <c r="S266" s="69"/>
      <c r="X266" s="69"/>
      <c r="AF266" s="69"/>
      <c r="AK266" s="69"/>
      <c r="AM266" s="69"/>
      <c r="AS266" s="69"/>
      <c r="AU266" s="3"/>
      <c r="AV266" s="69"/>
      <c r="AZ266" s="30"/>
    </row>
    <row r="267">
      <c r="C267" s="3"/>
      <c r="D267" s="69"/>
      <c r="H267" s="69"/>
      <c r="O267" s="49"/>
      <c r="P267" s="69"/>
      <c r="S267" s="69"/>
      <c r="X267" s="69"/>
      <c r="AF267" s="69"/>
      <c r="AK267" s="69"/>
      <c r="AM267" s="69"/>
      <c r="AS267" s="69"/>
      <c r="AU267" s="3"/>
      <c r="AV267" s="69"/>
      <c r="AZ267" s="30"/>
    </row>
    <row r="268">
      <c r="C268" s="3"/>
      <c r="D268" s="69"/>
      <c r="H268" s="69"/>
      <c r="O268" s="49"/>
      <c r="P268" s="69"/>
      <c r="S268" s="69"/>
      <c r="X268" s="69"/>
      <c r="AF268" s="69"/>
      <c r="AK268" s="69"/>
      <c r="AM268" s="69"/>
      <c r="AS268" s="69"/>
      <c r="AU268" s="3"/>
      <c r="AV268" s="69"/>
      <c r="AZ268" s="30"/>
    </row>
    <row r="269">
      <c r="C269" s="3"/>
      <c r="D269" s="69"/>
      <c r="H269" s="69"/>
      <c r="O269" s="49"/>
      <c r="P269" s="69"/>
      <c r="S269" s="69"/>
      <c r="X269" s="69"/>
      <c r="AF269" s="69"/>
      <c r="AK269" s="69"/>
      <c r="AM269" s="69"/>
      <c r="AS269" s="69"/>
      <c r="AU269" s="3"/>
      <c r="AV269" s="69"/>
      <c r="AZ269" s="30"/>
    </row>
    <row r="270">
      <c r="C270" s="3"/>
      <c r="D270" s="69"/>
      <c r="H270" s="69"/>
      <c r="O270" s="49"/>
      <c r="P270" s="69"/>
      <c r="S270" s="69"/>
      <c r="X270" s="69"/>
      <c r="AF270" s="69"/>
      <c r="AK270" s="69"/>
      <c r="AM270" s="69"/>
      <c r="AS270" s="69"/>
      <c r="AU270" s="3"/>
      <c r="AV270" s="69"/>
      <c r="AZ270" s="30"/>
    </row>
    <row r="271">
      <c r="C271" s="3"/>
      <c r="D271" s="69"/>
      <c r="H271" s="69"/>
      <c r="O271" s="49"/>
      <c r="P271" s="69"/>
      <c r="S271" s="69"/>
      <c r="X271" s="69"/>
      <c r="AF271" s="69"/>
      <c r="AK271" s="69"/>
      <c r="AM271" s="69"/>
      <c r="AS271" s="69"/>
      <c r="AU271" s="3"/>
      <c r="AV271" s="69"/>
      <c r="AZ271" s="30"/>
    </row>
    <row r="272">
      <c r="C272" s="3"/>
      <c r="D272" s="69"/>
      <c r="H272" s="69"/>
      <c r="O272" s="49"/>
      <c r="P272" s="69"/>
      <c r="S272" s="69"/>
      <c r="X272" s="69"/>
      <c r="AF272" s="69"/>
      <c r="AK272" s="69"/>
      <c r="AM272" s="69"/>
      <c r="AS272" s="69"/>
      <c r="AU272" s="3"/>
      <c r="AV272" s="69"/>
      <c r="AZ272" s="30"/>
    </row>
    <row r="273">
      <c r="C273" s="3"/>
      <c r="D273" s="69"/>
      <c r="H273" s="69"/>
      <c r="O273" s="49"/>
      <c r="P273" s="69"/>
      <c r="S273" s="69"/>
      <c r="X273" s="69"/>
      <c r="AF273" s="69"/>
      <c r="AK273" s="69"/>
      <c r="AM273" s="69"/>
      <c r="AS273" s="69"/>
      <c r="AU273" s="3"/>
      <c r="AV273" s="69"/>
      <c r="AZ273" s="30"/>
    </row>
    <row r="274">
      <c r="C274" s="3"/>
      <c r="D274" s="69"/>
      <c r="H274" s="69"/>
      <c r="O274" s="49"/>
      <c r="P274" s="69"/>
      <c r="S274" s="69"/>
      <c r="X274" s="69"/>
      <c r="AF274" s="69"/>
      <c r="AK274" s="69"/>
      <c r="AM274" s="69"/>
      <c r="AS274" s="69"/>
      <c r="AU274" s="3"/>
      <c r="AV274" s="69"/>
      <c r="AZ274" s="30"/>
    </row>
    <row r="275">
      <c r="C275" s="3"/>
      <c r="D275" s="69"/>
      <c r="H275" s="69"/>
      <c r="O275" s="49"/>
      <c r="P275" s="69"/>
      <c r="S275" s="69"/>
      <c r="X275" s="69"/>
      <c r="AF275" s="69"/>
      <c r="AK275" s="69"/>
      <c r="AM275" s="69"/>
      <c r="AS275" s="69"/>
      <c r="AU275" s="3"/>
      <c r="AV275" s="69"/>
      <c r="AZ275" s="30"/>
    </row>
    <row r="276">
      <c r="C276" s="3"/>
      <c r="D276" s="69"/>
      <c r="H276" s="69"/>
      <c r="O276" s="49"/>
      <c r="P276" s="69"/>
      <c r="S276" s="69"/>
      <c r="X276" s="69"/>
      <c r="AF276" s="69"/>
      <c r="AK276" s="69"/>
      <c r="AM276" s="69"/>
      <c r="AS276" s="69"/>
      <c r="AU276" s="3"/>
      <c r="AV276" s="69"/>
      <c r="AZ276" s="30"/>
    </row>
    <row r="277">
      <c r="C277" s="3"/>
      <c r="D277" s="69"/>
      <c r="H277" s="69"/>
      <c r="O277" s="49"/>
      <c r="P277" s="69"/>
      <c r="S277" s="69"/>
      <c r="X277" s="69"/>
      <c r="AF277" s="69"/>
      <c r="AK277" s="69"/>
      <c r="AM277" s="69"/>
      <c r="AS277" s="69"/>
      <c r="AU277" s="3"/>
      <c r="AV277" s="69"/>
      <c r="AZ277" s="30"/>
    </row>
    <row r="278">
      <c r="C278" s="3"/>
      <c r="D278" s="69"/>
      <c r="H278" s="69"/>
      <c r="O278" s="49"/>
      <c r="P278" s="69"/>
      <c r="S278" s="69"/>
      <c r="X278" s="69"/>
      <c r="AF278" s="69"/>
      <c r="AK278" s="69"/>
      <c r="AM278" s="69"/>
      <c r="AS278" s="69"/>
      <c r="AU278" s="3"/>
      <c r="AV278" s="69"/>
      <c r="AZ278" s="30"/>
    </row>
    <row r="279">
      <c r="C279" s="3"/>
      <c r="D279" s="69"/>
      <c r="H279" s="69"/>
      <c r="O279" s="49"/>
      <c r="P279" s="69"/>
      <c r="S279" s="69"/>
      <c r="X279" s="69"/>
      <c r="AF279" s="69"/>
      <c r="AK279" s="69"/>
      <c r="AM279" s="69"/>
      <c r="AS279" s="69"/>
      <c r="AU279" s="3"/>
      <c r="AV279" s="69"/>
      <c r="AZ279" s="30"/>
    </row>
    <row r="280">
      <c r="C280" s="3"/>
      <c r="D280" s="69"/>
      <c r="H280" s="69"/>
      <c r="O280" s="49"/>
      <c r="P280" s="69"/>
      <c r="S280" s="69"/>
      <c r="X280" s="69"/>
      <c r="AF280" s="69"/>
      <c r="AK280" s="69"/>
      <c r="AM280" s="69"/>
      <c r="AS280" s="69"/>
      <c r="AU280" s="3"/>
      <c r="AV280" s="69"/>
      <c r="AZ280" s="30"/>
    </row>
    <row r="281">
      <c r="C281" s="3"/>
      <c r="D281" s="69"/>
      <c r="H281" s="69"/>
      <c r="O281" s="49"/>
      <c r="P281" s="69"/>
      <c r="S281" s="69"/>
      <c r="X281" s="69"/>
      <c r="AF281" s="69"/>
      <c r="AK281" s="69"/>
      <c r="AM281" s="69"/>
      <c r="AS281" s="69"/>
      <c r="AU281" s="3"/>
      <c r="AV281" s="69"/>
      <c r="AZ281" s="30"/>
    </row>
    <row r="282">
      <c r="C282" s="3"/>
      <c r="D282" s="69"/>
      <c r="H282" s="69"/>
      <c r="O282" s="49"/>
      <c r="P282" s="69"/>
      <c r="S282" s="69"/>
      <c r="X282" s="69"/>
      <c r="AF282" s="69"/>
      <c r="AK282" s="69"/>
      <c r="AM282" s="69"/>
      <c r="AS282" s="69"/>
      <c r="AU282" s="3"/>
      <c r="AV282" s="69"/>
      <c r="AZ282" s="30"/>
    </row>
    <row r="283">
      <c r="C283" s="3"/>
      <c r="D283" s="69"/>
      <c r="H283" s="69"/>
      <c r="O283" s="49"/>
      <c r="P283" s="69"/>
      <c r="S283" s="69"/>
      <c r="X283" s="69"/>
      <c r="AF283" s="69"/>
      <c r="AK283" s="69"/>
      <c r="AM283" s="69"/>
      <c r="AS283" s="69"/>
      <c r="AU283" s="3"/>
      <c r="AV283" s="69"/>
      <c r="AZ283" s="30"/>
    </row>
    <row r="284">
      <c r="C284" s="3"/>
      <c r="D284" s="69"/>
      <c r="H284" s="69"/>
      <c r="O284" s="49"/>
      <c r="P284" s="69"/>
      <c r="S284" s="69"/>
      <c r="X284" s="69"/>
      <c r="AF284" s="69"/>
      <c r="AK284" s="69"/>
      <c r="AM284" s="69"/>
      <c r="AS284" s="69"/>
      <c r="AU284" s="3"/>
      <c r="AV284" s="69"/>
      <c r="AZ284" s="30"/>
    </row>
    <row r="285">
      <c r="C285" s="3"/>
      <c r="D285" s="69"/>
      <c r="H285" s="69"/>
      <c r="O285" s="49"/>
      <c r="P285" s="69"/>
      <c r="S285" s="69"/>
      <c r="X285" s="69"/>
      <c r="AF285" s="69"/>
      <c r="AK285" s="69"/>
      <c r="AM285" s="69"/>
      <c r="AS285" s="69"/>
      <c r="AU285" s="3"/>
      <c r="AV285" s="69"/>
      <c r="AZ285" s="30"/>
    </row>
    <row r="286">
      <c r="C286" s="3"/>
      <c r="D286" s="69"/>
      <c r="H286" s="69"/>
      <c r="O286" s="49"/>
      <c r="P286" s="69"/>
      <c r="S286" s="69"/>
      <c r="X286" s="69"/>
      <c r="AF286" s="69"/>
      <c r="AK286" s="69"/>
      <c r="AM286" s="69"/>
      <c r="AS286" s="69"/>
      <c r="AU286" s="3"/>
      <c r="AV286" s="69"/>
      <c r="AZ286" s="30"/>
    </row>
    <row r="287">
      <c r="C287" s="3"/>
      <c r="D287" s="69"/>
      <c r="H287" s="69"/>
      <c r="O287" s="49"/>
      <c r="P287" s="69"/>
      <c r="S287" s="69"/>
      <c r="X287" s="69"/>
      <c r="AF287" s="69"/>
      <c r="AK287" s="69"/>
      <c r="AM287" s="69"/>
      <c r="AS287" s="69"/>
      <c r="AU287" s="3"/>
      <c r="AV287" s="69"/>
      <c r="AZ287" s="30"/>
    </row>
    <row r="288">
      <c r="C288" s="3"/>
      <c r="D288" s="69"/>
      <c r="H288" s="69"/>
      <c r="O288" s="49"/>
      <c r="P288" s="69"/>
      <c r="S288" s="69"/>
      <c r="X288" s="69"/>
      <c r="AF288" s="69"/>
      <c r="AK288" s="69"/>
      <c r="AM288" s="69"/>
      <c r="AS288" s="69"/>
      <c r="AU288" s="3"/>
      <c r="AV288" s="69"/>
      <c r="AZ288" s="30"/>
    </row>
    <row r="289">
      <c r="C289" s="3"/>
      <c r="D289" s="69"/>
      <c r="H289" s="69"/>
      <c r="O289" s="49"/>
      <c r="P289" s="69"/>
      <c r="S289" s="69"/>
      <c r="X289" s="69"/>
      <c r="AF289" s="69"/>
      <c r="AK289" s="69"/>
      <c r="AM289" s="69"/>
      <c r="AS289" s="69"/>
      <c r="AU289" s="3"/>
      <c r="AV289" s="69"/>
      <c r="AZ289" s="30"/>
    </row>
    <row r="290">
      <c r="C290" s="3"/>
      <c r="D290" s="69"/>
      <c r="H290" s="69"/>
      <c r="O290" s="49"/>
      <c r="P290" s="69"/>
      <c r="S290" s="69"/>
      <c r="X290" s="69"/>
      <c r="AF290" s="69"/>
      <c r="AK290" s="69"/>
      <c r="AM290" s="69"/>
      <c r="AS290" s="69"/>
      <c r="AU290" s="3"/>
      <c r="AV290" s="69"/>
      <c r="AZ290" s="30"/>
    </row>
    <row r="291">
      <c r="C291" s="3"/>
      <c r="D291" s="69"/>
      <c r="H291" s="69"/>
      <c r="O291" s="49"/>
      <c r="P291" s="69"/>
      <c r="S291" s="69"/>
      <c r="X291" s="69"/>
      <c r="AF291" s="69"/>
      <c r="AK291" s="69"/>
      <c r="AM291" s="69"/>
      <c r="AS291" s="69"/>
      <c r="AU291" s="3"/>
      <c r="AV291" s="69"/>
      <c r="AZ291" s="30"/>
    </row>
    <row r="292">
      <c r="C292" s="3"/>
      <c r="D292" s="69"/>
      <c r="H292" s="69"/>
      <c r="O292" s="49"/>
      <c r="P292" s="69"/>
      <c r="S292" s="69"/>
      <c r="X292" s="69"/>
      <c r="AF292" s="69"/>
      <c r="AK292" s="69"/>
      <c r="AM292" s="69"/>
      <c r="AS292" s="69"/>
      <c r="AU292" s="3"/>
      <c r="AV292" s="69"/>
      <c r="AZ292" s="30"/>
    </row>
    <row r="293">
      <c r="C293" s="3"/>
      <c r="D293" s="69"/>
      <c r="H293" s="69"/>
      <c r="O293" s="49"/>
      <c r="P293" s="69"/>
      <c r="S293" s="69"/>
      <c r="X293" s="69"/>
      <c r="AF293" s="69"/>
      <c r="AK293" s="69"/>
      <c r="AM293" s="69"/>
      <c r="AS293" s="69"/>
      <c r="AU293" s="3"/>
      <c r="AV293" s="69"/>
      <c r="AZ293" s="30"/>
    </row>
    <row r="294">
      <c r="C294" s="3"/>
      <c r="D294" s="69"/>
      <c r="H294" s="69"/>
      <c r="O294" s="49"/>
      <c r="P294" s="69"/>
      <c r="S294" s="69"/>
      <c r="X294" s="69"/>
      <c r="AF294" s="69"/>
      <c r="AK294" s="69"/>
      <c r="AM294" s="69"/>
      <c r="AS294" s="69"/>
      <c r="AU294" s="3"/>
      <c r="AV294" s="69"/>
      <c r="AZ294" s="30"/>
    </row>
    <row r="295">
      <c r="C295" s="3"/>
      <c r="D295" s="69"/>
      <c r="H295" s="69"/>
      <c r="O295" s="49"/>
      <c r="P295" s="69"/>
      <c r="S295" s="69"/>
      <c r="X295" s="69"/>
      <c r="AF295" s="69"/>
      <c r="AK295" s="69"/>
      <c r="AM295" s="69"/>
      <c r="AS295" s="69"/>
      <c r="AU295" s="3"/>
      <c r="AV295" s="69"/>
      <c r="AZ295" s="30"/>
    </row>
    <row r="296">
      <c r="C296" s="3"/>
      <c r="D296" s="69"/>
      <c r="H296" s="69"/>
      <c r="O296" s="49"/>
      <c r="P296" s="69"/>
      <c r="S296" s="69"/>
      <c r="X296" s="69"/>
      <c r="AF296" s="69"/>
      <c r="AK296" s="69"/>
      <c r="AM296" s="69"/>
      <c r="AS296" s="69"/>
      <c r="AU296" s="3"/>
      <c r="AV296" s="69"/>
      <c r="AZ296" s="30"/>
    </row>
    <row r="297">
      <c r="C297" s="3"/>
      <c r="D297" s="69"/>
      <c r="H297" s="69"/>
      <c r="O297" s="49"/>
      <c r="P297" s="69"/>
      <c r="S297" s="69"/>
      <c r="X297" s="69"/>
      <c r="AF297" s="69"/>
      <c r="AK297" s="69"/>
      <c r="AM297" s="69"/>
      <c r="AS297" s="69"/>
      <c r="AU297" s="3"/>
      <c r="AV297" s="69"/>
      <c r="AZ297" s="30"/>
    </row>
    <row r="298">
      <c r="C298" s="3"/>
      <c r="D298" s="69"/>
      <c r="H298" s="69"/>
      <c r="O298" s="49"/>
      <c r="P298" s="69"/>
      <c r="S298" s="69"/>
      <c r="X298" s="69"/>
      <c r="AF298" s="69"/>
      <c r="AK298" s="69"/>
      <c r="AM298" s="69"/>
      <c r="AS298" s="69"/>
      <c r="AU298" s="3"/>
      <c r="AV298" s="69"/>
      <c r="AZ298" s="30"/>
    </row>
    <row r="299">
      <c r="C299" s="3"/>
      <c r="D299" s="69"/>
      <c r="H299" s="69"/>
      <c r="O299" s="49"/>
      <c r="P299" s="69"/>
      <c r="S299" s="69"/>
      <c r="X299" s="69"/>
      <c r="AF299" s="69"/>
      <c r="AK299" s="69"/>
      <c r="AM299" s="69"/>
      <c r="AS299" s="69"/>
      <c r="AU299" s="3"/>
      <c r="AV299" s="69"/>
      <c r="AZ299" s="30"/>
    </row>
    <row r="300">
      <c r="C300" s="3"/>
      <c r="D300" s="69"/>
      <c r="H300" s="69"/>
      <c r="O300" s="49"/>
      <c r="P300" s="69"/>
      <c r="S300" s="69"/>
      <c r="X300" s="69"/>
      <c r="AF300" s="69"/>
      <c r="AK300" s="69"/>
      <c r="AM300" s="69"/>
      <c r="AS300" s="69"/>
      <c r="AU300" s="3"/>
      <c r="AV300" s="69"/>
      <c r="AZ300" s="30"/>
    </row>
    <row r="301">
      <c r="C301" s="3"/>
      <c r="D301" s="69"/>
      <c r="H301" s="69"/>
      <c r="O301" s="49"/>
      <c r="P301" s="69"/>
      <c r="S301" s="69"/>
      <c r="X301" s="69"/>
      <c r="AF301" s="69"/>
      <c r="AK301" s="69"/>
      <c r="AM301" s="69"/>
      <c r="AS301" s="69"/>
      <c r="AU301" s="3"/>
      <c r="AV301" s="69"/>
      <c r="AZ301" s="30"/>
    </row>
    <row r="302">
      <c r="C302" s="3"/>
      <c r="D302" s="69"/>
      <c r="H302" s="69"/>
      <c r="O302" s="49"/>
      <c r="P302" s="69"/>
      <c r="S302" s="69"/>
      <c r="X302" s="69"/>
      <c r="AF302" s="69"/>
      <c r="AK302" s="69"/>
      <c r="AM302" s="69"/>
      <c r="AS302" s="69"/>
      <c r="AU302" s="3"/>
      <c r="AV302" s="69"/>
      <c r="AZ302" s="30"/>
    </row>
    <row r="303">
      <c r="C303" s="3"/>
      <c r="D303" s="69"/>
      <c r="H303" s="69"/>
      <c r="O303" s="49"/>
      <c r="P303" s="69"/>
      <c r="S303" s="69"/>
      <c r="X303" s="69"/>
      <c r="AF303" s="69"/>
      <c r="AK303" s="69"/>
      <c r="AM303" s="69"/>
      <c r="AS303" s="69"/>
      <c r="AU303" s="3"/>
      <c r="AV303" s="69"/>
      <c r="AZ303" s="30"/>
    </row>
    <row r="304">
      <c r="C304" s="3"/>
      <c r="D304" s="69"/>
      <c r="H304" s="69"/>
      <c r="O304" s="49"/>
      <c r="P304" s="69"/>
      <c r="S304" s="69"/>
      <c r="X304" s="69"/>
      <c r="AF304" s="69"/>
      <c r="AK304" s="69"/>
      <c r="AM304" s="69"/>
      <c r="AS304" s="69"/>
      <c r="AU304" s="3"/>
      <c r="AV304" s="69"/>
      <c r="AZ304" s="30"/>
    </row>
    <row r="305">
      <c r="C305" s="3"/>
      <c r="D305" s="69"/>
      <c r="H305" s="69"/>
      <c r="O305" s="49"/>
      <c r="P305" s="69"/>
      <c r="S305" s="69"/>
      <c r="X305" s="69"/>
      <c r="AF305" s="69"/>
      <c r="AK305" s="69"/>
      <c r="AM305" s="69"/>
      <c r="AS305" s="69"/>
      <c r="AU305" s="3"/>
      <c r="AV305" s="69"/>
      <c r="AZ305" s="30"/>
    </row>
    <row r="306">
      <c r="C306" s="3"/>
      <c r="D306" s="69"/>
      <c r="H306" s="69"/>
      <c r="O306" s="49"/>
      <c r="P306" s="69"/>
      <c r="S306" s="69"/>
      <c r="X306" s="69"/>
      <c r="AF306" s="69"/>
      <c r="AK306" s="69"/>
      <c r="AM306" s="69"/>
      <c r="AS306" s="69"/>
      <c r="AU306" s="3"/>
      <c r="AV306" s="69"/>
      <c r="AZ306" s="30"/>
    </row>
    <row r="307">
      <c r="C307" s="3"/>
      <c r="D307" s="69"/>
      <c r="H307" s="69"/>
      <c r="O307" s="49"/>
      <c r="P307" s="69"/>
      <c r="S307" s="69"/>
      <c r="X307" s="69"/>
      <c r="AF307" s="69"/>
      <c r="AK307" s="69"/>
      <c r="AM307" s="69"/>
      <c r="AS307" s="69"/>
      <c r="AU307" s="3"/>
      <c r="AV307" s="69"/>
      <c r="AZ307" s="30"/>
    </row>
    <row r="308">
      <c r="C308" s="3"/>
      <c r="D308" s="69"/>
      <c r="H308" s="69"/>
      <c r="O308" s="49"/>
      <c r="P308" s="69"/>
      <c r="S308" s="69"/>
      <c r="X308" s="69"/>
      <c r="AF308" s="69"/>
      <c r="AK308" s="69"/>
      <c r="AM308" s="69"/>
      <c r="AS308" s="69"/>
      <c r="AU308" s="3"/>
      <c r="AV308" s="69"/>
      <c r="AZ308" s="30"/>
    </row>
    <row r="309">
      <c r="C309" s="3"/>
      <c r="D309" s="69"/>
      <c r="H309" s="69"/>
      <c r="O309" s="49"/>
      <c r="P309" s="69"/>
      <c r="S309" s="69"/>
      <c r="X309" s="69"/>
      <c r="AF309" s="69"/>
      <c r="AK309" s="69"/>
      <c r="AM309" s="69"/>
      <c r="AS309" s="69"/>
      <c r="AU309" s="3"/>
      <c r="AV309" s="69"/>
      <c r="AZ309" s="30"/>
    </row>
    <row r="310">
      <c r="C310" s="3"/>
      <c r="D310" s="69"/>
      <c r="H310" s="69"/>
      <c r="O310" s="49"/>
      <c r="P310" s="69"/>
      <c r="S310" s="69"/>
      <c r="X310" s="69"/>
      <c r="AF310" s="69"/>
      <c r="AK310" s="69"/>
      <c r="AM310" s="69"/>
      <c r="AS310" s="69"/>
      <c r="AU310" s="3"/>
      <c r="AV310" s="69"/>
      <c r="AZ310" s="30"/>
    </row>
    <row r="311">
      <c r="C311" s="3"/>
      <c r="D311" s="69"/>
      <c r="H311" s="69"/>
      <c r="O311" s="49"/>
      <c r="P311" s="69"/>
      <c r="S311" s="69"/>
      <c r="X311" s="69"/>
      <c r="AF311" s="69"/>
      <c r="AK311" s="69"/>
      <c r="AM311" s="69"/>
      <c r="AS311" s="69"/>
      <c r="AU311" s="3"/>
      <c r="AV311" s="69"/>
      <c r="AZ311" s="30"/>
    </row>
    <row r="312">
      <c r="C312" s="3"/>
      <c r="D312" s="69"/>
      <c r="H312" s="69"/>
      <c r="O312" s="49"/>
      <c r="P312" s="69"/>
      <c r="S312" s="69"/>
      <c r="X312" s="69"/>
      <c r="AF312" s="69"/>
      <c r="AK312" s="69"/>
      <c r="AM312" s="69"/>
      <c r="AS312" s="69"/>
      <c r="AU312" s="3"/>
      <c r="AV312" s="69"/>
      <c r="AZ312" s="30"/>
    </row>
    <row r="313">
      <c r="C313" s="3"/>
      <c r="D313" s="69"/>
      <c r="H313" s="69"/>
      <c r="O313" s="49"/>
      <c r="P313" s="69"/>
      <c r="S313" s="69"/>
      <c r="X313" s="69"/>
      <c r="AF313" s="69"/>
      <c r="AK313" s="69"/>
      <c r="AM313" s="69"/>
      <c r="AS313" s="69"/>
      <c r="AU313" s="3"/>
      <c r="AV313" s="69"/>
      <c r="AZ313" s="30"/>
    </row>
    <row r="314">
      <c r="C314" s="3"/>
      <c r="D314" s="69"/>
      <c r="H314" s="69"/>
      <c r="O314" s="49"/>
      <c r="P314" s="69"/>
      <c r="S314" s="69"/>
      <c r="X314" s="69"/>
      <c r="AF314" s="69"/>
      <c r="AK314" s="69"/>
      <c r="AM314" s="69"/>
      <c r="AS314" s="69"/>
      <c r="AU314" s="3"/>
      <c r="AV314" s="69"/>
      <c r="AZ314" s="30"/>
    </row>
    <row r="315">
      <c r="C315" s="3"/>
      <c r="D315" s="69"/>
      <c r="H315" s="69"/>
      <c r="O315" s="49"/>
      <c r="P315" s="69"/>
      <c r="S315" s="69"/>
      <c r="X315" s="69"/>
      <c r="AF315" s="69"/>
      <c r="AK315" s="69"/>
      <c r="AM315" s="69"/>
      <c r="AS315" s="69"/>
      <c r="AU315" s="3"/>
      <c r="AV315" s="69"/>
      <c r="AZ315" s="30"/>
    </row>
    <row r="316">
      <c r="C316" s="3"/>
      <c r="D316" s="69"/>
      <c r="H316" s="69"/>
      <c r="O316" s="49"/>
      <c r="P316" s="69"/>
      <c r="S316" s="69"/>
      <c r="X316" s="69"/>
      <c r="AF316" s="69"/>
      <c r="AK316" s="69"/>
      <c r="AM316" s="69"/>
      <c r="AS316" s="69"/>
      <c r="AU316" s="3"/>
      <c r="AV316" s="69"/>
      <c r="AZ316" s="30"/>
    </row>
    <row r="317">
      <c r="C317" s="3"/>
      <c r="D317" s="69"/>
      <c r="H317" s="69"/>
      <c r="O317" s="49"/>
      <c r="P317" s="69"/>
      <c r="S317" s="69"/>
      <c r="X317" s="69"/>
      <c r="AF317" s="69"/>
      <c r="AK317" s="69"/>
      <c r="AM317" s="69"/>
      <c r="AS317" s="69"/>
      <c r="AU317" s="3"/>
      <c r="AV317" s="69"/>
      <c r="AZ317" s="30"/>
    </row>
    <row r="318">
      <c r="C318" s="3"/>
      <c r="D318" s="69"/>
      <c r="H318" s="69"/>
      <c r="O318" s="49"/>
      <c r="P318" s="69"/>
      <c r="S318" s="69"/>
      <c r="X318" s="69"/>
      <c r="AF318" s="69"/>
      <c r="AK318" s="69"/>
      <c r="AM318" s="69"/>
      <c r="AS318" s="69"/>
      <c r="AU318" s="3"/>
      <c r="AV318" s="69"/>
      <c r="AZ318" s="30"/>
    </row>
    <row r="319">
      <c r="C319" s="3"/>
      <c r="D319" s="69"/>
      <c r="H319" s="69"/>
      <c r="O319" s="49"/>
      <c r="P319" s="69"/>
      <c r="S319" s="69"/>
      <c r="X319" s="69"/>
      <c r="AF319" s="69"/>
      <c r="AK319" s="69"/>
      <c r="AM319" s="69"/>
      <c r="AS319" s="69"/>
      <c r="AU319" s="3"/>
      <c r="AV319" s="69"/>
      <c r="AZ319" s="30"/>
    </row>
    <row r="320">
      <c r="C320" s="3"/>
      <c r="D320" s="69"/>
      <c r="H320" s="69"/>
      <c r="O320" s="49"/>
      <c r="P320" s="69"/>
      <c r="S320" s="69"/>
      <c r="X320" s="69"/>
      <c r="AF320" s="69"/>
      <c r="AK320" s="69"/>
      <c r="AM320" s="69"/>
      <c r="AS320" s="69"/>
      <c r="AU320" s="3"/>
      <c r="AV320" s="69"/>
      <c r="AZ320" s="30"/>
    </row>
    <row r="321">
      <c r="C321" s="3"/>
      <c r="D321" s="69"/>
      <c r="H321" s="69"/>
      <c r="O321" s="49"/>
      <c r="P321" s="69"/>
      <c r="S321" s="69"/>
      <c r="X321" s="69"/>
      <c r="AF321" s="69"/>
      <c r="AK321" s="69"/>
      <c r="AM321" s="69"/>
      <c r="AS321" s="69"/>
      <c r="AU321" s="3"/>
      <c r="AV321" s="69"/>
      <c r="AZ321" s="30"/>
    </row>
    <row r="322">
      <c r="C322" s="3"/>
      <c r="D322" s="69"/>
      <c r="H322" s="69"/>
      <c r="O322" s="49"/>
      <c r="P322" s="69"/>
      <c r="S322" s="69"/>
      <c r="X322" s="69"/>
      <c r="AF322" s="69"/>
      <c r="AK322" s="69"/>
      <c r="AM322" s="69"/>
      <c r="AS322" s="69"/>
      <c r="AU322" s="3"/>
      <c r="AV322" s="69"/>
      <c r="AZ322" s="30"/>
    </row>
    <row r="323">
      <c r="C323" s="3"/>
      <c r="D323" s="69"/>
      <c r="H323" s="69"/>
      <c r="O323" s="49"/>
      <c r="P323" s="69"/>
      <c r="S323" s="69"/>
      <c r="X323" s="69"/>
      <c r="AF323" s="69"/>
      <c r="AK323" s="69"/>
      <c r="AM323" s="69"/>
      <c r="AS323" s="69"/>
      <c r="AU323" s="3"/>
      <c r="AV323" s="69"/>
      <c r="AZ323" s="30"/>
    </row>
    <row r="324">
      <c r="C324" s="3"/>
      <c r="D324" s="69"/>
      <c r="H324" s="69"/>
      <c r="O324" s="49"/>
      <c r="P324" s="69"/>
      <c r="S324" s="69"/>
      <c r="X324" s="69"/>
      <c r="AF324" s="69"/>
      <c r="AK324" s="69"/>
      <c r="AM324" s="69"/>
      <c r="AS324" s="69"/>
      <c r="AU324" s="3"/>
      <c r="AV324" s="69"/>
      <c r="AZ324" s="30"/>
    </row>
    <row r="325">
      <c r="C325" s="3"/>
      <c r="D325" s="69"/>
      <c r="H325" s="69"/>
      <c r="O325" s="49"/>
      <c r="P325" s="69"/>
      <c r="S325" s="69"/>
      <c r="X325" s="69"/>
      <c r="AF325" s="69"/>
      <c r="AK325" s="69"/>
      <c r="AM325" s="69"/>
      <c r="AS325" s="69"/>
      <c r="AU325" s="3"/>
      <c r="AV325" s="69"/>
      <c r="AZ325" s="30"/>
    </row>
    <row r="326">
      <c r="C326" s="3"/>
      <c r="D326" s="69"/>
      <c r="H326" s="69"/>
      <c r="O326" s="49"/>
      <c r="P326" s="69"/>
      <c r="S326" s="69"/>
      <c r="X326" s="69"/>
      <c r="AF326" s="69"/>
      <c r="AK326" s="69"/>
      <c r="AM326" s="69"/>
      <c r="AS326" s="69"/>
      <c r="AU326" s="3"/>
      <c r="AV326" s="69"/>
      <c r="AZ326" s="30"/>
    </row>
    <row r="327">
      <c r="C327" s="3"/>
      <c r="D327" s="69"/>
      <c r="H327" s="69"/>
      <c r="O327" s="49"/>
      <c r="P327" s="69"/>
      <c r="S327" s="69"/>
      <c r="X327" s="69"/>
      <c r="AF327" s="69"/>
      <c r="AK327" s="69"/>
      <c r="AM327" s="69"/>
      <c r="AS327" s="69"/>
      <c r="AU327" s="3"/>
      <c r="AV327" s="69"/>
      <c r="AZ327" s="30"/>
    </row>
    <row r="328">
      <c r="C328" s="3"/>
      <c r="D328" s="69"/>
      <c r="H328" s="69"/>
      <c r="O328" s="49"/>
      <c r="P328" s="69"/>
      <c r="S328" s="69"/>
      <c r="X328" s="69"/>
      <c r="AF328" s="69"/>
      <c r="AK328" s="69"/>
      <c r="AM328" s="69"/>
      <c r="AS328" s="69"/>
      <c r="AU328" s="3"/>
      <c r="AV328" s="69"/>
      <c r="AZ328" s="30"/>
    </row>
    <row r="329">
      <c r="C329" s="3"/>
      <c r="D329" s="69"/>
      <c r="H329" s="69"/>
      <c r="O329" s="49"/>
      <c r="P329" s="69"/>
      <c r="S329" s="69"/>
      <c r="X329" s="69"/>
      <c r="AF329" s="69"/>
      <c r="AK329" s="69"/>
      <c r="AM329" s="69"/>
      <c r="AS329" s="69"/>
      <c r="AU329" s="3"/>
      <c r="AV329" s="69"/>
      <c r="AZ329" s="30"/>
    </row>
    <row r="330">
      <c r="C330" s="3"/>
      <c r="D330" s="69"/>
      <c r="H330" s="69"/>
      <c r="O330" s="49"/>
      <c r="P330" s="69"/>
      <c r="S330" s="69"/>
      <c r="X330" s="69"/>
      <c r="AF330" s="69"/>
      <c r="AK330" s="69"/>
      <c r="AM330" s="69"/>
      <c r="AS330" s="69"/>
      <c r="AU330" s="3"/>
      <c r="AV330" s="69"/>
      <c r="AZ330" s="30"/>
    </row>
    <row r="331">
      <c r="C331" s="3"/>
      <c r="D331" s="69"/>
      <c r="H331" s="69"/>
      <c r="O331" s="49"/>
      <c r="P331" s="69"/>
      <c r="S331" s="69"/>
      <c r="X331" s="69"/>
      <c r="AF331" s="69"/>
      <c r="AK331" s="69"/>
      <c r="AM331" s="69"/>
      <c r="AS331" s="69"/>
      <c r="AU331" s="3"/>
      <c r="AV331" s="69"/>
      <c r="AZ331" s="30"/>
    </row>
    <row r="332">
      <c r="C332" s="3"/>
      <c r="D332" s="69"/>
      <c r="H332" s="69"/>
      <c r="O332" s="49"/>
      <c r="P332" s="69"/>
      <c r="S332" s="69"/>
      <c r="X332" s="69"/>
      <c r="AF332" s="69"/>
      <c r="AK332" s="69"/>
      <c r="AM332" s="69"/>
      <c r="AS332" s="69"/>
      <c r="AU332" s="3"/>
      <c r="AV332" s="69"/>
      <c r="AZ332" s="30"/>
    </row>
    <row r="333">
      <c r="C333" s="3"/>
      <c r="D333" s="69"/>
      <c r="H333" s="69"/>
      <c r="O333" s="49"/>
      <c r="P333" s="69"/>
      <c r="S333" s="69"/>
      <c r="X333" s="69"/>
      <c r="AF333" s="69"/>
      <c r="AK333" s="69"/>
      <c r="AM333" s="69"/>
      <c r="AS333" s="69"/>
      <c r="AU333" s="3"/>
      <c r="AV333" s="69"/>
      <c r="AZ333" s="30"/>
    </row>
    <row r="334">
      <c r="C334" s="3"/>
      <c r="D334" s="69"/>
      <c r="H334" s="69"/>
      <c r="O334" s="49"/>
      <c r="P334" s="69"/>
      <c r="S334" s="69"/>
      <c r="X334" s="69"/>
      <c r="AF334" s="69"/>
      <c r="AK334" s="69"/>
      <c r="AM334" s="69"/>
      <c r="AS334" s="69"/>
      <c r="AU334" s="3"/>
      <c r="AV334" s="69"/>
      <c r="AZ334" s="30"/>
    </row>
    <row r="335">
      <c r="C335" s="3"/>
      <c r="D335" s="69"/>
      <c r="H335" s="69"/>
      <c r="O335" s="49"/>
      <c r="P335" s="69"/>
      <c r="S335" s="69"/>
      <c r="X335" s="69"/>
      <c r="AF335" s="69"/>
      <c r="AK335" s="69"/>
      <c r="AM335" s="69"/>
      <c r="AS335" s="69"/>
      <c r="AU335" s="3"/>
      <c r="AV335" s="69"/>
      <c r="AZ335" s="30"/>
    </row>
    <row r="336">
      <c r="C336" s="3"/>
      <c r="D336" s="69"/>
      <c r="H336" s="69"/>
      <c r="O336" s="49"/>
      <c r="P336" s="69"/>
      <c r="S336" s="69"/>
      <c r="X336" s="69"/>
      <c r="AF336" s="69"/>
      <c r="AK336" s="69"/>
      <c r="AM336" s="69"/>
      <c r="AS336" s="69"/>
      <c r="AU336" s="3"/>
      <c r="AV336" s="69"/>
      <c r="AZ336" s="30"/>
    </row>
    <row r="337">
      <c r="C337" s="3"/>
      <c r="D337" s="69"/>
      <c r="H337" s="69"/>
      <c r="O337" s="49"/>
      <c r="P337" s="69"/>
      <c r="S337" s="69"/>
      <c r="X337" s="69"/>
      <c r="AF337" s="69"/>
      <c r="AK337" s="69"/>
      <c r="AM337" s="69"/>
      <c r="AS337" s="69"/>
      <c r="AU337" s="3"/>
      <c r="AV337" s="69"/>
      <c r="AZ337" s="30"/>
    </row>
    <row r="338">
      <c r="C338" s="3"/>
      <c r="D338" s="69"/>
      <c r="H338" s="69"/>
      <c r="O338" s="49"/>
      <c r="P338" s="69"/>
      <c r="S338" s="69"/>
      <c r="X338" s="69"/>
      <c r="AF338" s="69"/>
      <c r="AK338" s="69"/>
      <c r="AM338" s="69"/>
      <c r="AS338" s="69"/>
      <c r="AU338" s="3"/>
      <c r="AV338" s="69"/>
      <c r="AZ338" s="30"/>
    </row>
    <row r="339">
      <c r="C339" s="3"/>
      <c r="D339" s="69"/>
      <c r="H339" s="69"/>
      <c r="O339" s="49"/>
      <c r="P339" s="69"/>
      <c r="S339" s="69"/>
      <c r="X339" s="69"/>
      <c r="AF339" s="69"/>
      <c r="AK339" s="69"/>
      <c r="AM339" s="69"/>
      <c r="AS339" s="69"/>
      <c r="AU339" s="3"/>
      <c r="AV339" s="69"/>
      <c r="AZ339" s="30"/>
    </row>
    <row r="340">
      <c r="C340" s="3"/>
      <c r="D340" s="69"/>
      <c r="H340" s="69"/>
      <c r="O340" s="49"/>
      <c r="P340" s="69"/>
      <c r="S340" s="69"/>
      <c r="X340" s="69"/>
      <c r="AF340" s="69"/>
      <c r="AK340" s="69"/>
      <c r="AM340" s="69"/>
      <c r="AS340" s="69"/>
      <c r="AU340" s="3"/>
      <c r="AV340" s="69"/>
      <c r="AZ340" s="30"/>
    </row>
    <row r="341">
      <c r="C341" s="3"/>
      <c r="D341" s="69"/>
      <c r="H341" s="69"/>
      <c r="O341" s="49"/>
      <c r="P341" s="69"/>
      <c r="S341" s="69"/>
      <c r="X341" s="69"/>
      <c r="AF341" s="69"/>
      <c r="AK341" s="69"/>
      <c r="AM341" s="69"/>
      <c r="AS341" s="69"/>
      <c r="AU341" s="3"/>
      <c r="AV341" s="69"/>
      <c r="AZ341" s="30"/>
    </row>
    <row r="342">
      <c r="C342" s="3"/>
      <c r="D342" s="69"/>
      <c r="H342" s="69"/>
      <c r="O342" s="49"/>
      <c r="P342" s="69"/>
      <c r="S342" s="69"/>
      <c r="X342" s="69"/>
      <c r="AF342" s="69"/>
      <c r="AK342" s="69"/>
      <c r="AM342" s="69"/>
      <c r="AS342" s="69"/>
      <c r="AU342" s="3"/>
      <c r="AV342" s="69"/>
      <c r="AZ342" s="30"/>
    </row>
    <row r="343">
      <c r="C343" s="3"/>
      <c r="D343" s="69"/>
      <c r="H343" s="69"/>
      <c r="O343" s="49"/>
      <c r="P343" s="69"/>
      <c r="S343" s="69"/>
      <c r="X343" s="69"/>
      <c r="AF343" s="69"/>
      <c r="AK343" s="69"/>
      <c r="AM343" s="69"/>
      <c r="AS343" s="69"/>
      <c r="AU343" s="3"/>
      <c r="AV343" s="69"/>
      <c r="AZ343" s="30"/>
    </row>
    <row r="344">
      <c r="C344" s="3"/>
      <c r="D344" s="69"/>
      <c r="H344" s="69"/>
      <c r="O344" s="49"/>
      <c r="P344" s="69"/>
      <c r="S344" s="69"/>
      <c r="X344" s="69"/>
      <c r="AF344" s="69"/>
      <c r="AK344" s="69"/>
      <c r="AM344" s="69"/>
      <c r="AS344" s="69"/>
      <c r="AU344" s="3"/>
      <c r="AV344" s="69"/>
      <c r="AZ344" s="30"/>
    </row>
    <row r="345">
      <c r="C345" s="3"/>
      <c r="D345" s="69"/>
      <c r="H345" s="69"/>
      <c r="O345" s="49"/>
      <c r="P345" s="69"/>
      <c r="S345" s="69"/>
      <c r="X345" s="69"/>
      <c r="AF345" s="69"/>
      <c r="AK345" s="69"/>
      <c r="AM345" s="69"/>
      <c r="AS345" s="69"/>
      <c r="AU345" s="3"/>
      <c r="AV345" s="69"/>
      <c r="AZ345" s="30"/>
    </row>
    <row r="346">
      <c r="C346" s="3"/>
      <c r="D346" s="69"/>
      <c r="H346" s="69"/>
      <c r="O346" s="49"/>
      <c r="P346" s="69"/>
      <c r="S346" s="69"/>
      <c r="X346" s="69"/>
      <c r="AF346" s="69"/>
      <c r="AK346" s="69"/>
      <c r="AM346" s="69"/>
      <c r="AS346" s="69"/>
      <c r="AU346" s="3"/>
      <c r="AV346" s="69"/>
      <c r="AZ346" s="30"/>
    </row>
    <row r="347">
      <c r="C347" s="3"/>
      <c r="D347" s="69"/>
      <c r="H347" s="69"/>
      <c r="O347" s="49"/>
      <c r="P347" s="69"/>
      <c r="S347" s="69"/>
      <c r="X347" s="69"/>
      <c r="AF347" s="69"/>
      <c r="AK347" s="69"/>
      <c r="AM347" s="69"/>
      <c r="AS347" s="69"/>
      <c r="AU347" s="3"/>
      <c r="AV347" s="69"/>
      <c r="AZ347" s="30"/>
    </row>
    <row r="348">
      <c r="C348" s="3"/>
      <c r="D348" s="69"/>
      <c r="H348" s="69"/>
      <c r="O348" s="49"/>
      <c r="P348" s="69"/>
      <c r="S348" s="69"/>
      <c r="X348" s="69"/>
      <c r="AF348" s="69"/>
      <c r="AK348" s="69"/>
      <c r="AM348" s="69"/>
      <c r="AS348" s="69"/>
      <c r="AU348" s="3"/>
      <c r="AV348" s="69"/>
      <c r="AZ348" s="30"/>
    </row>
    <row r="349">
      <c r="C349" s="3"/>
      <c r="D349" s="69"/>
      <c r="H349" s="69"/>
      <c r="O349" s="49"/>
      <c r="P349" s="69"/>
      <c r="S349" s="69"/>
      <c r="X349" s="69"/>
      <c r="AF349" s="69"/>
      <c r="AK349" s="69"/>
      <c r="AM349" s="69"/>
      <c r="AS349" s="69"/>
      <c r="AU349" s="3"/>
      <c r="AV349" s="69"/>
      <c r="AZ349" s="30"/>
    </row>
    <row r="350">
      <c r="C350" s="3"/>
      <c r="D350" s="69"/>
      <c r="H350" s="69"/>
      <c r="O350" s="49"/>
      <c r="P350" s="69"/>
      <c r="S350" s="69"/>
      <c r="X350" s="69"/>
      <c r="AF350" s="69"/>
      <c r="AK350" s="69"/>
      <c r="AM350" s="69"/>
      <c r="AS350" s="69"/>
      <c r="AU350" s="3"/>
      <c r="AV350" s="69"/>
      <c r="AZ350" s="30"/>
    </row>
    <row r="351">
      <c r="C351" s="3"/>
      <c r="D351" s="69"/>
      <c r="H351" s="69"/>
      <c r="O351" s="49"/>
      <c r="P351" s="69"/>
      <c r="S351" s="69"/>
      <c r="X351" s="69"/>
      <c r="AF351" s="69"/>
      <c r="AK351" s="69"/>
      <c r="AM351" s="69"/>
      <c r="AS351" s="69"/>
      <c r="AU351" s="3"/>
      <c r="AV351" s="69"/>
      <c r="AZ351" s="30"/>
    </row>
    <row r="352">
      <c r="C352" s="3"/>
      <c r="D352" s="69"/>
      <c r="H352" s="69"/>
      <c r="O352" s="49"/>
      <c r="P352" s="69"/>
      <c r="S352" s="69"/>
      <c r="X352" s="69"/>
      <c r="AF352" s="69"/>
      <c r="AK352" s="69"/>
      <c r="AM352" s="69"/>
      <c r="AS352" s="69"/>
      <c r="AU352" s="3"/>
      <c r="AV352" s="69"/>
      <c r="AZ352" s="30"/>
    </row>
    <row r="353">
      <c r="C353" s="3"/>
      <c r="D353" s="69"/>
      <c r="H353" s="69"/>
      <c r="O353" s="49"/>
      <c r="P353" s="69"/>
      <c r="S353" s="69"/>
      <c r="X353" s="69"/>
      <c r="AF353" s="69"/>
      <c r="AK353" s="69"/>
      <c r="AM353" s="69"/>
      <c r="AS353" s="69"/>
      <c r="AU353" s="3"/>
      <c r="AV353" s="69"/>
      <c r="AZ353" s="30"/>
    </row>
    <row r="354">
      <c r="C354" s="3"/>
      <c r="D354" s="69"/>
      <c r="H354" s="69"/>
      <c r="O354" s="49"/>
      <c r="P354" s="69"/>
      <c r="S354" s="69"/>
      <c r="X354" s="69"/>
      <c r="AF354" s="69"/>
      <c r="AK354" s="69"/>
      <c r="AM354" s="69"/>
      <c r="AS354" s="69"/>
      <c r="AU354" s="3"/>
      <c r="AV354" s="69"/>
      <c r="AZ354" s="30"/>
    </row>
    <row r="355">
      <c r="C355" s="3"/>
      <c r="D355" s="69"/>
      <c r="H355" s="69"/>
      <c r="O355" s="49"/>
      <c r="P355" s="69"/>
      <c r="S355" s="69"/>
      <c r="X355" s="69"/>
      <c r="AF355" s="69"/>
      <c r="AK355" s="69"/>
      <c r="AM355" s="69"/>
      <c r="AS355" s="69"/>
      <c r="AU355" s="3"/>
      <c r="AV355" s="69"/>
      <c r="AZ355" s="30"/>
    </row>
    <row r="356">
      <c r="C356" s="3"/>
      <c r="D356" s="69"/>
      <c r="H356" s="69"/>
      <c r="O356" s="49"/>
      <c r="P356" s="69"/>
      <c r="S356" s="69"/>
      <c r="X356" s="69"/>
      <c r="AF356" s="69"/>
      <c r="AK356" s="69"/>
      <c r="AM356" s="69"/>
      <c r="AS356" s="69"/>
      <c r="AU356" s="3"/>
      <c r="AV356" s="69"/>
      <c r="AZ356" s="30"/>
    </row>
    <row r="357">
      <c r="C357" s="3"/>
      <c r="D357" s="69"/>
      <c r="H357" s="69"/>
      <c r="O357" s="49"/>
      <c r="P357" s="69"/>
      <c r="S357" s="69"/>
      <c r="X357" s="69"/>
      <c r="AF357" s="69"/>
      <c r="AK357" s="69"/>
      <c r="AM357" s="69"/>
      <c r="AS357" s="69"/>
      <c r="AU357" s="3"/>
      <c r="AV357" s="69"/>
      <c r="AZ357" s="30"/>
    </row>
    <row r="358">
      <c r="C358" s="3"/>
      <c r="D358" s="69"/>
      <c r="H358" s="69"/>
      <c r="O358" s="49"/>
      <c r="P358" s="69"/>
      <c r="S358" s="69"/>
      <c r="X358" s="69"/>
      <c r="AF358" s="69"/>
      <c r="AK358" s="69"/>
      <c r="AM358" s="69"/>
      <c r="AS358" s="69"/>
      <c r="AU358" s="3"/>
      <c r="AV358" s="69"/>
      <c r="AZ358" s="30"/>
    </row>
    <row r="359">
      <c r="C359" s="3"/>
      <c r="D359" s="69"/>
      <c r="H359" s="69"/>
      <c r="O359" s="49"/>
      <c r="P359" s="69"/>
      <c r="S359" s="69"/>
      <c r="X359" s="69"/>
      <c r="AF359" s="69"/>
      <c r="AK359" s="69"/>
      <c r="AM359" s="69"/>
      <c r="AS359" s="69"/>
      <c r="AU359" s="3"/>
      <c r="AV359" s="69"/>
      <c r="AZ359" s="30"/>
    </row>
    <row r="360">
      <c r="C360" s="3"/>
      <c r="D360" s="69"/>
      <c r="H360" s="69"/>
      <c r="O360" s="49"/>
      <c r="P360" s="69"/>
      <c r="S360" s="69"/>
      <c r="X360" s="69"/>
      <c r="AF360" s="69"/>
      <c r="AK360" s="69"/>
      <c r="AM360" s="69"/>
      <c r="AS360" s="69"/>
      <c r="AU360" s="3"/>
      <c r="AV360" s="69"/>
      <c r="AZ360" s="30"/>
    </row>
    <row r="361">
      <c r="C361" s="3"/>
      <c r="D361" s="69"/>
      <c r="H361" s="69"/>
      <c r="O361" s="49"/>
      <c r="P361" s="69"/>
      <c r="S361" s="69"/>
      <c r="X361" s="69"/>
      <c r="AF361" s="69"/>
      <c r="AK361" s="69"/>
      <c r="AM361" s="69"/>
      <c r="AS361" s="69"/>
      <c r="AU361" s="3"/>
      <c r="AV361" s="69"/>
      <c r="AZ361" s="30"/>
    </row>
    <row r="362">
      <c r="C362" s="3"/>
      <c r="D362" s="69"/>
      <c r="H362" s="69"/>
      <c r="O362" s="49"/>
      <c r="P362" s="69"/>
      <c r="S362" s="69"/>
      <c r="X362" s="69"/>
      <c r="AF362" s="69"/>
      <c r="AK362" s="69"/>
      <c r="AM362" s="69"/>
      <c r="AS362" s="69"/>
      <c r="AU362" s="3"/>
      <c r="AV362" s="69"/>
      <c r="AZ362" s="30"/>
    </row>
    <row r="363">
      <c r="C363" s="3"/>
      <c r="D363" s="69"/>
      <c r="H363" s="69"/>
      <c r="O363" s="49"/>
      <c r="P363" s="69"/>
      <c r="S363" s="69"/>
      <c r="X363" s="69"/>
      <c r="AF363" s="69"/>
      <c r="AK363" s="69"/>
      <c r="AM363" s="69"/>
      <c r="AS363" s="69"/>
      <c r="AU363" s="3"/>
      <c r="AV363" s="69"/>
      <c r="AZ363" s="30"/>
    </row>
    <row r="364">
      <c r="C364" s="3"/>
      <c r="D364" s="69"/>
      <c r="H364" s="69"/>
      <c r="O364" s="49"/>
      <c r="P364" s="69"/>
      <c r="S364" s="69"/>
      <c r="X364" s="69"/>
      <c r="AF364" s="69"/>
      <c r="AK364" s="69"/>
      <c r="AM364" s="69"/>
      <c r="AS364" s="69"/>
      <c r="AU364" s="3"/>
      <c r="AV364" s="69"/>
      <c r="AZ364" s="30"/>
    </row>
    <row r="365">
      <c r="C365" s="3"/>
      <c r="D365" s="69"/>
      <c r="H365" s="69"/>
      <c r="O365" s="49"/>
      <c r="P365" s="69"/>
      <c r="S365" s="69"/>
      <c r="X365" s="69"/>
      <c r="AF365" s="69"/>
      <c r="AK365" s="69"/>
      <c r="AM365" s="69"/>
      <c r="AS365" s="69"/>
      <c r="AU365" s="3"/>
      <c r="AV365" s="69"/>
      <c r="AZ365" s="30"/>
    </row>
    <row r="366">
      <c r="C366" s="3"/>
      <c r="D366" s="69"/>
      <c r="H366" s="69"/>
      <c r="O366" s="49"/>
      <c r="P366" s="69"/>
      <c r="S366" s="69"/>
      <c r="X366" s="69"/>
      <c r="AF366" s="69"/>
      <c r="AK366" s="69"/>
      <c r="AM366" s="69"/>
      <c r="AS366" s="69"/>
      <c r="AU366" s="3"/>
      <c r="AV366" s="69"/>
      <c r="AZ366" s="30"/>
    </row>
    <row r="367">
      <c r="C367" s="3"/>
      <c r="D367" s="69"/>
      <c r="H367" s="69"/>
      <c r="O367" s="49"/>
      <c r="P367" s="69"/>
      <c r="S367" s="69"/>
      <c r="X367" s="69"/>
      <c r="AF367" s="69"/>
      <c r="AK367" s="69"/>
      <c r="AM367" s="69"/>
      <c r="AS367" s="69"/>
      <c r="AU367" s="3"/>
      <c r="AV367" s="69"/>
      <c r="AZ367" s="30"/>
    </row>
    <row r="368">
      <c r="C368" s="3"/>
      <c r="D368" s="69"/>
      <c r="H368" s="69"/>
      <c r="O368" s="49"/>
      <c r="P368" s="69"/>
      <c r="S368" s="69"/>
      <c r="X368" s="69"/>
      <c r="AF368" s="69"/>
      <c r="AK368" s="69"/>
      <c r="AM368" s="69"/>
      <c r="AS368" s="69"/>
      <c r="AU368" s="3"/>
      <c r="AV368" s="69"/>
      <c r="AZ368" s="30"/>
    </row>
    <row r="369">
      <c r="C369" s="3"/>
      <c r="D369" s="69"/>
      <c r="H369" s="69"/>
      <c r="O369" s="49"/>
      <c r="P369" s="69"/>
      <c r="S369" s="69"/>
      <c r="X369" s="69"/>
      <c r="AF369" s="69"/>
      <c r="AK369" s="69"/>
      <c r="AM369" s="69"/>
      <c r="AS369" s="69"/>
      <c r="AU369" s="3"/>
      <c r="AV369" s="69"/>
      <c r="AZ369" s="30"/>
    </row>
    <row r="370">
      <c r="C370" s="3"/>
      <c r="D370" s="69"/>
      <c r="H370" s="69"/>
      <c r="O370" s="49"/>
      <c r="P370" s="69"/>
      <c r="S370" s="69"/>
      <c r="X370" s="69"/>
      <c r="AF370" s="69"/>
      <c r="AK370" s="69"/>
      <c r="AM370" s="69"/>
      <c r="AS370" s="69"/>
      <c r="AU370" s="3"/>
      <c r="AV370" s="69"/>
      <c r="AZ370" s="30"/>
    </row>
    <row r="371">
      <c r="C371" s="3"/>
      <c r="D371" s="69"/>
      <c r="H371" s="69"/>
      <c r="O371" s="49"/>
      <c r="P371" s="69"/>
      <c r="S371" s="69"/>
      <c r="X371" s="69"/>
      <c r="AF371" s="69"/>
      <c r="AK371" s="69"/>
      <c r="AM371" s="69"/>
      <c r="AS371" s="69"/>
      <c r="AU371" s="3"/>
      <c r="AV371" s="69"/>
      <c r="AZ371" s="30"/>
    </row>
    <row r="372">
      <c r="C372" s="3"/>
      <c r="D372" s="69"/>
      <c r="H372" s="69"/>
      <c r="O372" s="49"/>
      <c r="P372" s="69"/>
      <c r="S372" s="69"/>
      <c r="X372" s="69"/>
      <c r="AF372" s="69"/>
      <c r="AK372" s="69"/>
      <c r="AM372" s="69"/>
      <c r="AS372" s="69"/>
      <c r="AU372" s="3"/>
      <c r="AV372" s="69"/>
      <c r="AZ372" s="30"/>
    </row>
    <row r="373">
      <c r="C373" s="3"/>
      <c r="D373" s="69"/>
      <c r="H373" s="69"/>
      <c r="O373" s="49"/>
      <c r="P373" s="69"/>
      <c r="S373" s="69"/>
      <c r="X373" s="69"/>
      <c r="AF373" s="69"/>
      <c r="AK373" s="69"/>
      <c r="AM373" s="69"/>
      <c r="AS373" s="69"/>
      <c r="AU373" s="3"/>
      <c r="AV373" s="69"/>
      <c r="AZ373" s="30"/>
    </row>
    <row r="374">
      <c r="C374" s="3"/>
      <c r="D374" s="69"/>
      <c r="H374" s="69"/>
      <c r="O374" s="49"/>
      <c r="P374" s="69"/>
      <c r="S374" s="69"/>
      <c r="X374" s="69"/>
      <c r="AF374" s="69"/>
      <c r="AK374" s="69"/>
      <c r="AM374" s="69"/>
      <c r="AS374" s="69"/>
      <c r="AU374" s="3"/>
      <c r="AV374" s="69"/>
      <c r="AZ374" s="30"/>
    </row>
    <row r="375">
      <c r="C375" s="3"/>
      <c r="D375" s="69"/>
      <c r="H375" s="69"/>
      <c r="O375" s="49"/>
      <c r="P375" s="69"/>
      <c r="S375" s="69"/>
      <c r="X375" s="69"/>
      <c r="AF375" s="69"/>
      <c r="AK375" s="69"/>
      <c r="AM375" s="69"/>
      <c r="AS375" s="69"/>
      <c r="AU375" s="3"/>
      <c r="AV375" s="69"/>
      <c r="AZ375" s="30"/>
    </row>
    <row r="376">
      <c r="C376" s="3"/>
      <c r="D376" s="69"/>
      <c r="H376" s="69"/>
      <c r="O376" s="49"/>
      <c r="P376" s="69"/>
      <c r="S376" s="69"/>
      <c r="X376" s="69"/>
      <c r="AF376" s="69"/>
      <c r="AK376" s="69"/>
      <c r="AM376" s="69"/>
      <c r="AS376" s="69"/>
      <c r="AU376" s="3"/>
      <c r="AV376" s="69"/>
      <c r="AZ376" s="30"/>
    </row>
    <row r="377">
      <c r="C377" s="3"/>
      <c r="D377" s="69"/>
      <c r="H377" s="69"/>
      <c r="O377" s="49"/>
      <c r="P377" s="69"/>
      <c r="S377" s="69"/>
      <c r="X377" s="69"/>
      <c r="AF377" s="69"/>
      <c r="AK377" s="69"/>
      <c r="AM377" s="69"/>
      <c r="AS377" s="69"/>
      <c r="AU377" s="3"/>
      <c r="AV377" s="69"/>
      <c r="AZ377" s="30"/>
    </row>
    <row r="378">
      <c r="C378" s="3"/>
      <c r="D378" s="69"/>
      <c r="H378" s="69"/>
      <c r="O378" s="49"/>
      <c r="P378" s="69"/>
      <c r="S378" s="69"/>
      <c r="X378" s="69"/>
      <c r="AF378" s="69"/>
      <c r="AK378" s="69"/>
      <c r="AM378" s="69"/>
      <c r="AS378" s="69"/>
      <c r="AU378" s="3"/>
      <c r="AV378" s="69"/>
      <c r="AZ378" s="30"/>
    </row>
    <row r="379">
      <c r="C379" s="3"/>
      <c r="D379" s="69"/>
      <c r="H379" s="69"/>
      <c r="O379" s="49"/>
      <c r="P379" s="69"/>
      <c r="S379" s="69"/>
      <c r="X379" s="69"/>
      <c r="AF379" s="69"/>
      <c r="AK379" s="69"/>
      <c r="AM379" s="69"/>
      <c r="AS379" s="69"/>
      <c r="AU379" s="3"/>
      <c r="AV379" s="69"/>
      <c r="AZ379" s="30"/>
    </row>
    <row r="380">
      <c r="C380" s="3"/>
      <c r="D380" s="69"/>
      <c r="H380" s="69"/>
      <c r="O380" s="49"/>
      <c r="P380" s="69"/>
      <c r="S380" s="69"/>
      <c r="X380" s="69"/>
      <c r="AF380" s="69"/>
      <c r="AK380" s="69"/>
      <c r="AM380" s="69"/>
      <c r="AS380" s="69"/>
      <c r="AU380" s="3"/>
      <c r="AV380" s="69"/>
      <c r="AZ380" s="30"/>
    </row>
    <row r="381">
      <c r="C381" s="3"/>
      <c r="D381" s="69"/>
      <c r="H381" s="69"/>
      <c r="O381" s="49"/>
      <c r="P381" s="69"/>
      <c r="S381" s="69"/>
      <c r="X381" s="69"/>
      <c r="AF381" s="69"/>
      <c r="AK381" s="69"/>
      <c r="AM381" s="69"/>
      <c r="AS381" s="69"/>
      <c r="AU381" s="3"/>
      <c r="AV381" s="69"/>
      <c r="AZ381" s="30"/>
    </row>
    <row r="382">
      <c r="C382" s="3"/>
      <c r="D382" s="69"/>
      <c r="H382" s="69"/>
      <c r="O382" s="49"/>
      <c r="P382" s="69"/>
      <c r="S382" s="69"/>
      <c r="X382" s="69"/>
      <c r="AF382" s="69"/>
      <c r="AK382" s="69"/>
      <c r="AM382" s="69"/>
      <c r="AS382" s="69"/>
      <c r="AU382" s="3"/>
      <c r="AV382" s="69"/>
      <c r="AZ382" s="30"/>
    </row>
    <row r="383">
      <c r="C383" s="3"/>
      <c r="D383" s="69"/>
      <c r="H383" s="69"/>
      <c r="O383" s="49"/>
      <c r="P383" s="69"/>
      <c r="S383" s="69"/>
      <c r="X383" s="69"/>
      <c r="AF383" s="69"/>
      <c r="AK383" s="69"/>
      <c r="AM383" s="69"/>
      <c r="AS383" s="69"/>
      <c r="AU383" s="3"/>
      <c r="AV383" s="69"/>
      <c r="AZ383" s="30"/>
    </row>
    <row r="384">
      <c r="C384" s="3"/>
      <c r="D384" s="69"/>
      <c r="H384" s="69"/>
      <c r="O384" s="49"/>
      <c r="P384" s="69"/>
      <c r="S384" s="69"/>
      <c r="X384" s="69"/>
      <c r="AF384" s="69"/>
      <c r="AK384" s="69"/>
      <c r="AM384" s="69"/>
      <c r="AS384" s="69"/>
      <c r="AU384" s="3"/>
      <c r="AV384" s="69"/>
      <c r="AZ384" s="30"/>
    </row>
    <row r="385">
      <c r="C385" s="3"/>
      <c r="D385" s="69"/>
      <c r="H385" s="69"/>
      <c r="O385" s="49"/>
      <c r="P385" s="69"/>
      <c r="S385" s="69"/>
      <c r="X385" s="69"/>
      <c r="AF385" s="69"/>
      <c r="AK385" s="69"/>
      <c r="AM385" s="69"/>
      <c r="AS385" s="69"/>
      <c r="AU385" s="3"/>
      <c r="AV385" s="69"/>
      <c r="AZ385" s="30"/>
    </row>
    <row r="386">
      <c r="C386" s="3"/>
      <c r="D386" s="69"/>
      <c r="H386" s="69"/>
      <c r="O386" s="49"/>
      <c r="P386" s="69"/>
      <c r="S386" s="69"/>
      <c r="X386" s="69"/>
      <c r="AF386" s="69"/>
      <c r="AK386" s="69"/>
      <c r="AM386" s="69"/>
      <c r="AS386" s="69"/>
      <c r="AU386" s="3"/>
      <c r="AV386" s="69"/>
      <c r="AZ386" s="30"/>
    </row>
    <row r="387">
      <c r="C387" s="3"/>
      <c r="D387" s="69"/>
      <c r="H387" s="69"/>
      <c r="O387" s="49"/>
      <c r="P387" s="69"/>
      <c r="S387" s="69"/>
      <c r="X387" s="69"/>
      <c r="AF387" s="69"/>
      <c r="AK387" s="69"/>
      <c r="AM387" s="69"/>
      <c r="AS387" s="69"/>
      <c r="AU387" s="3"/>
      <c r="AV387" s="69"/>
      <c r="AZ387" s="30"/>
    </row>
    <row r="388">
      <c r="C388" s="3"/>
      <c r="D388" s="69"/>
      <c r="H388" s="69"/>
      <c r="O388" s="49"/>
      <c r="P388" s="69"/>
      <c r="S388" s="69"/>
      <c r="X388" s="69"/>
      <c r="AF388" s="69"/>
      <c r="AK388" s="69"/>
      <c r="AM388" s="69"/>
      <c r="AS388" s="69"/>
      <c r="AU388" s="3"/>
      <c r="AV388" s="69"/>
      <c r="AZ388" s="30"/>
    </row>
    <row r="389">
      <c r="C389" s="3"/>
      <c r="D389" s="69"/>
      <c r="H389" s="69"/>
      <c r="O389" s="49"/>
      <c r="P389" s="69"/>
      <c r="S389" s="69"/>
      <c r="X389" s="69"/>
      <c r="AF389" s="69"/>
      <c r="AK389" s="69"/>
      <c r="AM389" s="69"/>
      <c r="AS389" s="69"/>
      <c r="AU389" s="3"/>
      <c r="AV389" s="69"/>
      <c r="AZ389" s="30"/>
    </row>
    <row r="390">
      <c r="C390" s="3"/>
      <c r="D390" s="69"/>
      <c r="H390" s="69"/>
      <c r="O390" s="49"/>
      <c r="P390" s="69"/>
      <c r="S390" s="69"/>
      <c r="X390" s="69"/>
      <c r="AF390" s="69"/>
      <c r="AK390" s="69"/>
      <c r="AM390" s="69"/>
      <c r="AS390" s="69"/>
      <c r="AU390" s="3"/>
      <c r="AV390" s="69"/>
      <c r="AZ390" s="30"/>
    </row>
    <row r="391">
      <c r="C391" s="3"/>
      <c r="D391" s="69"/>
      <c r="H391" s="69"/>
      <c r="O391" s="49"/>
      <c r="P391" s="69"/>
      <c r="S391" s="69"/>
      <c r="X391" s="69"/>
      <c r="AF391" s="69"/>
      <c r="AK391" s="69"/>
      <c r="AM391" s="69"/>
      <c r="AS391" s="69"/>
      <c r="AU391" s="3"/>
      <c r="AV391" s="69"/>
      <c r="AZ391" s="30"/>
    </row>
    <row r="392">
      <c r="C392" s="3"/>
      <c r="D392" s="69"/>
      <c r="H392" s="69"/>
      <c r="O392" s="49"/>
      <c r="P392" s="69"/>
      <c r="S392" s="69"/>
      <c r="X392" s="69"/>
      <c r="AF392" s="69"/>
      <c r="AK392" s="69"/>
      <c r="AM392" s="69"/>
      <c r="AS392" s="69"/>
      <c r="AU392" s="3"/>
      <c r="AV392" s="69"/>
      <c r="AZ392" s="30"/>
    </row>
    <row r="393">
      <c r="C393" s="3"/>
      <c r="D393" s="69"/>
      <c r="H393" s="69"/>
      <c r="O393" s="49"/>
      <c r="P393" s="69"/>
      <c r="S393" s="69"/>
      <c r="X393" s="69"/>
      <c r="AF393" s="69"/>
      <c r="AK393" s="69"/>
      <c r="AM393" s="69"/>
      <c r="AS393" s="69"/>
      <c r="AU393" s="3"/>
      <c r="AV393" s="69"/>
      <c r="AZ393" s="30"/>
    </row>
    <row r="394">
      <c r="C394" s="3"/>
      <c r="D394" s="69"/>
      <c r="H394" s="69"/>
      <c r="O394" s="49"/>
      <c r="P394" s="69"/>
      <c r="S394" s="69"/>
      <c r="X394" s="69"/>
      <c r="AF394" s="69"/>
      <c r="AK394" s="69"/>
      <c r="AM394" s="69"/>
      <c r="AS394" s="69"/>
      <c r="AU394" s="3"/>
      <c r="AV394" s="69"/>
      <c r="AZ394" s="30"/>
    </row>
    <row r="395">
      <c r="C395" s="3"/>
      <c r="D395" s="69"/>
      <c r="H395" s="69"/>
      <c r="O395" s="49"/>
      <c r="P395" s="69"/>
      <c r="S395" s="69"/>
      <c r="X395" s="69"/>
      <c r="AF395" s="69"/>
      <c r="AK395" s="69"/>
      <c r="AM395" s="69"/>
      <c r="AS395" s="69"/>
      <c r="AU395" s="3"/>
      <c r="AV395" s="69"/>
      <c r="AZ395" s="30"/>
    </row>
    <row r="396">
      <c r="C396" s="3"/>
      <c r="D396" s="69"/>
      <c r="H396" s="69"/>
      <c r="O396" s="49"/>
      <c r="P396" s="69"/>
      <c r="S396" s="69"/>
      <c r="X396" s="69"/>
      <c r="AF396" s="69"/>
      <c r="AK396" s="69"/>
      <c r="AM396" s="69"/>
      <c r="AS396" s="69"/>
      <c r="AU396" s="3"/>
      <c r="AV396" s="69"/>
      <c r="AZ396" s="30"/>
    </row>
    <row r="397">
      <c r="C397" s="3"/>
      <c r="D397" s="69"/>
      <c r="H397" s="69"/>
      <c r="O397" s="49"/>
      <c r="P397" s="69"/>
      <c r="S397" s="69"/>
      <c r="X397" s="69"/>
      <c r="AF397" s="69"/>
      <c r="AK397" s="69"/>
      <c r="AM397" s="69"/>
      <c r="AS397" s="69"/>
      <c r="AU397" s="3"/>
      <c r="AV397" s="69"/>
      <c r="AZ397" s="30"/>
    </row>
    <row r="398">
      <c r="C398" s="3"/>
      <c r="D398" s="69"/>
      <c r="H398" s="69"/>
      <c r="O398" s="49"/>
      <c r="P398" s="69"/>
      <c r="S398" s="69"/>
      <c r="X398" s="69"/>
      <c r="AF398" s="69"/>
      <c r="AK398" s="69"/>
      <c r="AM398" s="69"/>
      <c r="AS398" s="69"/>
      <c r="AU398" s="3"/>
      <c r="AV398" s="69"/>
      <c r="AZ398" s="30"/>
    </row>
    <row r="399">
      <c r="C399" s="3"/>
      <c r="D399" s="69"/>
      <c r="H399" s="69"/>
      <c r="O399" s="49"/>
      <c r="P399" s="69"/>
      <c r="S399" s="69"/>
      <c r="X399" s="69"/>
      <c r="AF399" s="69"/>
      <c r="AK399" s="69"/>
      <c r="AM399" s="69"/>
      <c r="AS399" s="69"/>
      <c r="AU399" s="3"/>
      <c r="AV399" s="69"/>
      <c r="AZ399" s="30"/>
    </row>
    <row r="400">
      <c r="C400" s="3"/>
      <c r="D400" s="69"/>
      <c r="H400" s="69"/>
      <c r="O400" s="49"/>
      <c r="P400" s="69"/>
      <c r="S400" s="69"/>
      <c r="X400" s="69"/>
      <c r="AF400" s="69"/>
      <c r="AK400" s="69"/>
      <c r="AM400" s="69"/>
      <c r="AS400" s="69"/>
      <c r="AU400" s="3"/>
      <c r="AV400" s="69"/>
      <c r="AZ400" s="30"/>
    </row>
    <row r="401">
      <c r="C401" s="3"/>
      <c r="D401" s="69"/>
      <c r="H401" s="69"/>
      <c r="O401" s="49"/>
      <c r="P401" s="69"/>
      <c r="S401" s="69"/>
      <c r="X401" s="69"/>
      <c r="AF401" s="69"/>
      <c r="AK401" s="69"/>
      <c r="AM401" s="69"/>
      <c r="AS401" s="69"/>
      <c r="AU401" s="3"/>
      <c r="AV401" s="69"/>
      <c r="AZ401" s="30"/>
    </row>
    <row r="402">
      <c r="C402" s="3"/>
      <c r="D402" s="69"/>
      <c r="H402" s="69"/>
      <c r="O402" s="49"/>
      <c r="P402" s="69"/>
      <c r="S402" s="69"/>
      <c r="X402" s="69"/>
      <c r="AF402" s="69"/>
      <c r="AK402" s="69"/>
      <c r="AM402" s="69"/>
      <c r="AS402" s="69"/>
      <c r="AU402" s="3"/>
      <c r="AV402" s="69"/>
      <c r="AZ402" s="30"/>
    </row>
    <row r="403">
      <c r="C403" s="3"/>
      <c r="D403" s="69"/>
      <c r="H403" s="69"/>
      <c r="O403" s="49"/>
      <c r="P403" s="69"/>
      <c r="S403" s="69"/>
      <c r="X403" s="69"/>
      <c r="AF403" s="69"/>
      <c r="AK403" s="69"/>
      <c r="AM403" s="69"/>
      <c r="AS403" s="69"/>
      <c r="AU403" s="3"/>
      <c r="AV403" s="69"/>
      <c r="AZ403" s="30"/>
    </row>
    <row r="404">
      <c r="C404" s="3"/>
      <c r="D404" s="69"/>
      <c r="H404" s="69"/>
      <c r="O404" s="49"/>
      <c r="P404" s="69"/>
      <c r="S404" s="69"/>
      <c r="X404" s="69"/>
      <c r="AF404" s="69"/>
      <c r="AK404" s="69"/>
      <c r="AM404" s="69"/>
      <c r="AS404" s="69"/>
      <c r="AU404" s="3"/>
      <c r="AV404" s="69"/>
      <c r="AZ404" s="30"/>
    </row>
    <row r="405">
      <c r="C405" s="3"/>
      <c r="D405" s="69"/>
      <c r="H405" s="69"/>
      <c r="O405" s="49"/>
      <c r="P405" s="69"/>
      <c r="S405" s="69"/>
      <c r="X405" s="69"/>
      <c r="AF405" s="69"/>
      <c r="AK405" s="69"/>
      <c r="AM405" s="69"/>
      <c r="AS405" s="69"/>
      <c r="AU405" s="3"/>
      <c r="AV405" s="69"/>
      <c r="AZ405" s="30"/>
    </row>
    <row r="406">
      <c r="C406" s="3"/>
      <c r="D406" s="69"/>
      <c r="H406" s="69"/>
      <c r="O406" s="49"/>
      <c r="P406" s="69"/>
      <c r="S406" s="69"/>
      <c r="X406" s="69"/>
      <c r="AF406" s="69"/>
      <c r="AK406" s="69"/>
      <c r="AM406" s="69"/>
      <c r="AS406" s="69"/>
      <c r="AU406" s="3"/>
      <c r="AV406" s="69"/>
      <c r="AZ406" s="30"/>
    </row>
    <row r="407">
      <c r="C407" s="3"/>
      <c r="D407" s="69"/>
      <c r="H407" s="69"/>
      <c r="O407" s="49"/>
      <c r="P407" s="69"/>
      <c r="S407" s="69"/>
      <c r="X407" s="69"/>
      <c r="AF407" s="69"/>
      <c r="AK407" s="69"/>
      <c r="AM407" s="69"/>
      <c r="AS407" s="69"/>
      <c r="AU407" s="3"/>
      <c r="AV407" s="69"/>
      <c r="AZ407" s="30"/>
    </row>
    <row r="408">
      <c r="C408" s="3"/>
      <c r="D408" s="69"/>
      <c r="H408" s="69"/>
      <c r="O408" s="49"/>
      <c r="P408" s="69"/>
      <c r="S408" s="69"/>
      <c r="X408" s="69"/>
      <c r="AF408" s="69"/>
      <c r="AK408" s="69"/>
      <c r="AM408" s="69"/>
      <c r="AS408" s="69"/>
      <c r="AU408" s="3"/>
      <c r="AV408" s="69"/>
      <c r="AZ408" s="30"/>
    </row>
    <row r="409">
      <c r="C409" s="3"/>
      <c r="D409" s="69"/>
      <c r="H409" s="69"/>
      <c r="O409" s="49"/>
      <c r="P409" s="69"/>
      <c r="S409" s="69"/>
      <c r="X409" s="69"/>
      <c r="AF409" s="69"/>
      <c r="AK409" s="69"/>
      <c r="AM409" s="69"/>
      <c r="AS409" s="69"/>
      <c r="AU409" s="3"/>
      <c r="AV409" s="69"/>
      <c r="AZ409" s="30"/>
    </row>
    <row r="410">
      <c r="C410" s="3"/>
      <c r="D410" s="69"/>
      <c r="H410" s="69"/>
      <c r="O410" s="49"/>
      <c r="P410" s="69"/>
      <c r="S410" s="69"/>
      <c r="X410" s="69"/>
      <c r="AF410" s="69"/>
      <c r="AK410" s="69"/>
      <c r="AM410" s="69"/>
      <c r="AS410" s="69"/>
      <c r="AU410" s="3"/>
      <c r="AV410" s="69"/>
      <c r="AZ410" s="30"/>
    </row>
    <row r="411">
      <c r="C411" s="3"/>
      <c r="D411" s="69"/>
      <c r="H411" s="69"/>
      <c r="O411" s="49"/>
      <c r="P411" s="69"/>
      <c r="S411" s="69"/>
      <c r="X411" s="69"/>
      <c r="AF411" s="69"/>
      <c r="AK411" s="69"/>
      <c r="AM411" s="69"/>
      <c r="AS411" s="69"/>
      <c r="AU411" s="3"/>
      <c r="AV411" s="69"/>
      <c r="AZ411" s="30"/>
    </row>
    <row r="412">
      <c r="C412" s="3"/>
      <c r="D412" s="69"/>
      <c r="H412" s="69"/>
      <c r="O412" s="49"/>
      <c r="P412" s="69"/>
      <c r="S412" s="69"/>
      <c r="X412" s="69"/>
      <c r="AF412" s="69"/>
      <c r="AK412" s="69"/>
      <c r="AM412" s="69"/>
      <c r="AS412" s="69"/>
      <c r="AU412" s="3"/>
      <c r="AV412" s="69"/>
      <c r="AZ412" s="30"/>
    </row>
    <row r="413">
      <c r="C413" s="3"/>
      <c r="D413" s="69"/>
      <c r="H413" s="69"/>
      <c r="O413" s="49"/>
      <c r="P413" s="69"/>
      <c r="S413" s="69"/>
      <c r="X413" s="69"/>
      <c r="AF413" s="69"/>
      <c r="AK413" s="69"/>
      <c r="AM413" s="69"/>
      <c r="AS413" s="69"/>
      <c r="AU413" s="3"/>
      <c r="AV413" s="69"/>
      <c r="AZ413" s="30"/>
    </row>
    <row r="414">
      <c r="C414" s="3"/>
      <c r="D414" s="69"/>
      <c r="H414" s="69"/>
      <c r="O414" s="49"/>
      <c r="P414" s="69"/>
      <c r="S414" s="69"/>
      <c r="X414" s="69"/>
      <c r="AF414" s="69"/>
      <c r="AK414" s="69"/>
      <c r="AM414" s="69"/>
      <c r="AS414" s="69"/>
      <c r="AU414" s="3"/>
      <c r="AV414" s="69"/>
      <c r="AZ414" s="30"/>
    </row>
    <row r="415">
      <c r="C415" s="3"/>
      <c r="D415" s="69"/>
      <c r="H415" s="69"/>
      <c r="O415" s="49"/>
      <c r="P415" s="69"/>
      <c r="S415" s="69"/>
      <c r="X415" s="69"/>
      <c r="AF415" s="69"/>
      <c r="AK415" s="69"/>
      <c r="AM415" s="69"/>
      <c r="AS415" s="69"/>
      <c r="AU415" s="3"/>
      <c r="AV415" s="69"/>
      <c r="AZ415" s="30"/>
    </row>
    <row r="416">
      <c r="C416" s="3"/>
      <c r="D416" s="69"/>
      <c r="H416" s="69"/>
      <c r="O416" s="49"/>
      <c r="P416" s="69"/>
      <c r="S416" s="69"/>
      <c r="X416" s="69"/>
      <c r="AF416" s="69"/>
      <c r="AK416" s="69"/>
      <c r="AM416" s="69"/>
      <c r="AS416" s="69"/>
      <c r="AU416" s="3"/>
      <c r="AV416" s="69"/>
      <c r="AZ416" s="30"/>
    </row>
    <row r="417">
      <c r="C417" s="3"/>
      <c r="D417" s="69"/>
      <c r="H417" s="69"/>
      <c r="O417" s="49"/>
      <c r="P417" s="69"/>
      <c r="S417" s="69"/>
      <c r="X417" s="69"/>
      <c r="AF417" s="69"/>
      <c r="AK417" s="69"/>
      <c r="AM417" s="69"/>
      <c r="AS417" s="69"/>
      <c r="AU417" s="3"/>
      <c r="AV417" s="69"/>
      <c r="AZ417" s="30"/>
    </row>
    <row r="418">
      <c r="C418" s="3"/>
      <c r="D418" s="69"/>
      <c r="H418" s="69"/>
      <c r="O418" s="49"/>
      <c r="P418" s="69"/>
      <c r="S418" s="69"/>
      <c r="X418" s="69"/>
      <c r="AF418" s="69"/>
      <c r="AK418" s="69"/>
      <c r="AM418" s="69"/>
      <c r="AS418" s="69"/>
      <c r="AU418" s="3"/>
      <c r="AV418" s="69"/>
      <c r="AZ418" s="30"/>
    </row>
    <row r="419">
      <c r="C419" s="3"/>
      <c r="D419" s="69"/>
      <c r="H419" s="69"/>
      <c r="O419" s="49"/>
      <c r="P419" s="69"/>
      <c r="S419" s="69"/>
      <c r="X419" s="69"/>
      <c r="AF419" s="69"/>
      <c r="AK419" s="69"/>
      <c r="AM419" s="69"/>
      <c r="AS419" s="69"/>
      <c r="AU419" s="3"/>
      <c r="AV419" s="69"/>
      <c r="AZ419" s="30"/>
    </row>
    <row r="420">
      <c r="C420" s="3"/>
      <c r="D420" s="69"/>
      <c r="H420" s="69"/>
      <c r="O420" s="49"/>
      <c r="P420" s="69"/>
      <c r="S420" s="69"/>
      <c r="X420" s="69"/>
      <c r="AF420" s="69"/>
      <c r="AK420" s="69"/>
      <c r="AM420" s="69"/>
      <c r="AS420" s="69"/>
      <c r="AU420" s="3"/>
      <c r="AV420" s="69"/>
      <c r="AZ420" s="30"/>
    </row>
    <row r="421">
      <c r="C421" s="3"/>
      <c r="D421" s="69"/>
      <c r="H421" s="69"/>
      <c r="O421" s="49"/>
      <c r="P421" s="69"/>
      <c r="S421" s="69"/>
      <c r="X421" s="69"/>
      <c r="AF421" s="69"/>
      <c r="AK421" s="69"/>
      <c r="AM421" s="69"/>
      <c r="AS421" s="69"/>
      <c r="AU421" s="3"/>
      <c r="AV421" s="69"/>
      <c r="AZ421" s="30"/>
    </row>
    <row r="422">
      <c r="C422" s="3"/>
      <c r="D422" s="69"/>
      <c r="H422" s="69"/>
      <c r="O422" s="49"/>
      <c r="P422" s="69"/>
      <c r="S422" s="69"/>
      <c r="X422" s="69"/>
      <c r="AF422" s="69"/>
      <c r="AK422" s="69"/>
      <c r="AM422" s="69"/>
      <c r="AS422" s="69"/>
      <c r="AU422" s="3"/>
      <c r="AV422" s="69"/>
      <c r="AZ422" s="30"/>
    </row>
    <row r="423">
      <c r="C423" s="3"/>
      <c r="D423" s="69"/>
      <c r="H423" s="69"/>
      <c r="O423" s="49"/>
      <c r="P423" s="69"/>
      <c r="S423" s="69"/>
      <c r="X423" s="69"/>
      <c r="AF423" s="69"/>
      <c r="AK423" s="69"/>
      <c r="AM423" s="69"/>
      <c r="AS423" s="69"/>
      <c r="AU423" s="3"/>
      <c r="AV423" s="69"/>
      <c r="AZ423" s="30"/>
    </row>
    <row r="424">
      <c r="C424" s="3"/>
      <c r="D424" s="69"/>
      <c r="H424" s="69"/>
      <c r="O424" s="49"/>
      <c r="P424" s="69"/>
      <c r="S424" s="69"/>
      <c r="X424" s="69"/>
      <c r="AF424" s="69"/>
      <c r="AK424" s="69"/>
      <c r="AM424" s="69"/>
      <c r="AS424" s="69"/>
      <c r="AU424" s="3"/>
      <c r="AV424" s="69"/>
      <c r="AZ424" s="30"/>
    </row>
    <row r="425">
      <c r="C425" s="3"/>
      <c r="D425" s="69"/>
      <c r="H425" s="69"/>
      <c r="O425" s="49"/>
      <c r="P425" s="69"/>
      <c r="S425" s="69"/>
      <c r="X425" s="69"/>
      <c r="AF425" s="69"/>
      <c r="AK425" s="69"/>
      <c r="AM425" s="69"/>
      <c r="AS425" s="69"/>
      <c r="AU425" s="3"/>
      <c r="AV425" s="69"/>
      <c r="AZ425" s="30"/>
    </row>
    <row r="426">
      <c r="C426" s="3"/>
      <c r="D426" s="69"/>
      <c r="H426" s="69"/>
      <c r="O426" s="49"/>
      <c r="P426" s="69"/>
      <c r="S426" s="69"/>
      <c r="X426" s="69"/>
      <c r="AF426" s="69"/>
      <c r="AK426" s="69"/>
      <c r="AM426" s="69"/>
      <c r="AS426" s="69"/>
      <c r="AU426" s="3"/>
      <c r="AV426" s="69"/>
      <c r="AZ426" s="30"/>
    </row>
    <row r="427">
      <c r="C427" s="3"/>
      <c r="D427" s="69"/>
      <c r="H427" s="69"/>
      <c r="O427" s="49"/>
      <c r="P427" s="69"/>
      <c r="S427" s="69"/>
      <c r="X427" s="69"/>
      <c r="AF427" s="69"/>
      <c r="AK427" s="69"/>
      <c r="AM427" s="69"/>
      <c r="AS427" s="69"/>
      <c r="AU427" s="3"/>
      <c r="AV427" s="69"/>
      <c r="AZ427" s="30"/>
    </row>
    <row r="428">
      <c r="C428" s="3"/>
      <c r="D428" s="69"/>
      <c r="H428" s="69"/>
      <c r="O428" s="49"/>
      <c r="P428" s="69"/>
      <c r="S428" s="69"/>
      <c r="X428" s="69"/>
      <c r="AF428" s="69"/>
      <c r="AK428" s="69"/>
      <c r="AM428" s="69"/>
      <c r="AS428" s="69"/>
      <c r="AU428" s="3"/>
      <c r="AV428" s="69"/>
      <c r="AZ428" s="30"/>
    </row>
    <row r="429">
      <c r="C429" s="3"/>
      <c r="D429" s="69"/>
      <c r="H429" s="69"/>
      <c r="O429" s="49"/>
      <c r="P429" s="69"/>
      <c r="S429" s="69"/>
      <c r="X429" s="69"/>
      <c r="AF429" s="69"/>
      <c r="AK429" s="69"/>
      <c r="AM429" s="69"/>
      <c r="AS429" s="69"/>
      <c r="AU429" s="3"/>
      <c r="AV429" s="69"/>
      <c r="AZ429" s="30"/>
    </row>
    <row r="430">
      <c r="C430" s="3"/>
      <c r="D430" s="69"/>
      <c r="H430" s="69"/>
      <c r="O430" s="49"/>
      <c r="P430" s="69"/>
      <c r="S430" s="69"/>
      <c r="X430" s="69"/>
      <c r="AF430" s="69"/>
      <c r="AK430" s="69"/>
      <c r="AM430" s="69"/>
      <c r="AS430" s="69"/>
      <c r="AU430" s="3"/>
      <c r="AV430" s="69"/>
      <c r="AZ430" s="30"/>
    </row>
    <row r="431">
      <c r="C431" s="3"/>
      <c r="D431" s="69"/>
      <c r="H431" s="69"/>
      <c r="O431" s="49"/>
      <c r="P431" s="69"/>
      <c r="S431" s="69"/>
      <c r="X431" s="69"/>
      <c r="AF431" s="69"/>
      <c r="AK431" s="69"/>
      <c r="AM431" s="69"/>
      <c r="AS431" s="69"/>
      <c r="AU431" s="3"/>
      <c r="AV431" s="69"/>
      <c r="AZ431" s="30"/>
    </row>
    <row r="432">
      <c r="C432" s="3"/>
      <c r="D432" s="69"/>
      <c r="H432" s="69"/>
      <c r="O432" s="49"/>
      <c r="P432" s="69"/>
      <c r="S432" s="69"/>
      <c r="X432" s="69"/>
      <c r="AF432" s="69"/>
      <c r="AK432" s="69"/>
      <c r="AM432" s="69"/>
      <c r="AS432" s="69"/>
      <c r="AU432" s="3"/>
      <c r="AV432" s="69"/>
      <c r="AZ432" s="30"/>
    </row>
    <row r="433">
      <c r="C433" s="3"/>
      <c r="D433" s="69"/>
      <c r="H433" s="69"/>
      <c r="O433" s="49"/>
      <c r="P433" s="69"/>
      <c r="S433" s="69"/>
      <c r="X433" s="69"/>
      <c r="AF433" s="69"/>
      <c r="AK433" s="69"/>
      <c r="AM433" s="69"/>
      <c r="AS433" s="69"/>
      <c r="AU433" s="3"/>
      <c r="AV433" s="69"/>
      <c r="AZ433" s="30"/>
    </row>
    <row r="434">
      <c r="C434" s="3"/>
      <c r="D434" s="69"/>
      <c r="H434" s="69"/>
      <c r="O434" s="49"/>
      <c r="P434" s="69"/>
      <c r="S434" s="69"/>
      <c r="X434" s="69"/>
      <c r="AF434" s="69"/>
      <c r="AK434" s="69"/>
      <c r="AM434" s="69"/>
      <c r="AS434" s="69"/>
      <c r="AU434" s="3"/>
      <c r="AV434" s="69"/>
      <c r="AZ434" s="30"/>
    </row>
    <row r="435">
      <c r="C435" s="3"/>
      <c r="D435" s="69"/>
      <c r="H435" s="69"/>
      <c r="O435" s="49"/>
      <c r="P435" s="69"/>
      <c r="S435" s="69"/>
      <c r="X435" s="69"/>
      <c r="AF435" s="69"/>
      <c r="AK435" s="69"/>
      <c r="AM435" s="69"/>
      <c r="AS435" s="69"/>
      <c r="AU435" s="3"/>
      <c r="AV435" s="69"/>
      <c r="AZ435" s="30"/>
    </row>
    <row r="436">
      <c r="C436" s="3"/>
      <c r="D436" s="69"/>
      <c r="H436" s="69"/>
      <c r="O436" s="49"/>
      <c r="P436" s="69"/>
      <c r="S436" s="69"/>
      <c r="X436" s="69"/>
      <c r="AF436" s="69"/>
      <c r="AK436" s="69"/>
      <c r="AM436" s="69"/>
      <c r="AS436" s="69"/>
      <c r="AU436" s="3"/>
      <c r="AV436" s="69"/>
      <c r="AZ436" s="30"/>
    </row>
    <row r="437">
      <c r="C437" s="3"/>
      <c r="D437" s="69"/>
      <c r="H437" s="69"/>
      <c r="O437" s="49"/>
      <c r="P437" s="69"/>
      <c r="S437" s="69"/>
      <c r="X437" s="69"/>
      <c r="AF437" s="69"/>
      <c r="AK437" s="69"/>
      <c r="AM437" s="69"/>
      <c r="AS437" s="69"/>
      <c r="AU437" s="3"/>
      <c r="AV437" s="69"/>
      <c r="AZ437" s="30"/>
    </row>
    <row r="438">
      <c r="C438" s="3"/>
      <c r="D438" s="69"/>
      <c r="H438" s="69"/>
      <c r="O438" s="49"/>
      <c r="P438" s="69"/>
      <c r="S438" s="69"/>
      <c r="X438" s="69"/>
      <c r="AF438" s="69"/>
      <c r="AK438" s="69"/>
      <c r="AM438" s="69"/>
      <c r="AS438" s="69"/>
      <c r="AU438" s="3"/>
      <c r="AV438" s="69"/>
      <c r="AZ438" s="30"/>
    </row>
    <row r="439">
      <c r="C439" s="3"/>
      <c r="D439" s="69"/>
      <c r="H439" s="69"/>
      <c r="O439" s="49"/>
      <c r="P439" s="69"/>
      <c r="S439" s="69"/>
      <c r="X439" s="69"/>
      <c r="AF439" s="69"/>
      <c r="AK439" s="69"/>
      <c r="AM439" s="69"/>
      <c r="AS439" s="69"/>
      <c r="AU439" s="3"/>
      <c r="AV439" s="69"/>
      <c r="AZ439" s="30"/>
    </row>
    <row r="440">
      <c r="C440" s="3"/>
      <c r="D440" s="69"/>
      <c r="H440" s="69"/>
      <c r="O440" s="49"/>
      <c r="P440" s="69"/>
      <c r="S440" s="69"/>
      <c r="X440" s="69"/>
      <c r="AF440" s="69"/>
      <c r="AK440" s="69"/>
      <c r="AM440" s="69"/>
      <c r="AS440" s="69"/>
      <c r="AU440" s="3"/>
      <c r="AV440" s="69"/>
      <c r="AZ440" s="30"/>
    </row>
    <row r="441">
      <c r="C441" s="3"/>
      <c r="D441" s="69"/>
      <c r="H441" s="69"/>
      <c r="O441" s="49"/>
      <c r="P441" s="69"/>
      <c r="S441" s="69"/>
      <c r="X441" s="69"/>
      <c r="AF441" s="69"/>
      <c r="AK441" s="69"/>
      <c r="AM441" s="69"/>
      <c r="AS441" s="69"/>
      <c r="AU441" s="3"/>
      <c r="AV441" s="69"/>
      <c r="AZ441" s="30"/>
    </row>
    <row r="442">
      <c r="C442" s="3"/>
      <c r="D442" s="69"/>
      <c r="H442" s="69"/>
      <c r="O442" s="49"/>
      <c r="P442" s="69"/>
      <c r="S442" s="69"/>
      <c r="X442" s="69"/>
      <c r="AF442" s="69"/>
      <c r="AK442" s="69"/>
      <c r="AM442" s="69"/>
      <c r="AS442" s="69"/>
      <c r="AU442" s="3"/>
      <c r="AV442" s="69"/>
      <c r="AZ442" s="30"/>
    </row>
    <row r="443">
      <c r="C443" s="3"/>
      <c r="D443" s="69"/>
      <c r="H443" s="69"/>
      <c r="O443" s="49"/>
      <c r="P443" s="69"/>
      <c r="S443" s="69"/>
      <c r="X443" s="69"/>
      <c r="AF443" s="69"/>
      <c r="AK443" s="69"/>
      <c r="AM443" s="69"/>
      <c r="AS443" s="69"/>
      <c r="AU443" s="3"/>
      <c r="AV443" s="69"/>
      <c r="AZ443" s="30"/>
    </row>
    <row r="444">
      <c r="C444" s="3"/>
      <c r="D444" s="69"/>
      <c r="H444" s="69"/>
      <c r="O444" s="49"/>
      <c r="P444" s="69"/>
      <c r="S444" s="69"/>
      <c r="X444" s="69"/>
      <c r="AF444" s="69"/>
      <c r="AK444" s="69"/>
      <c r="AM444" s="69"/>
      <c r="AS444" s="69"/>
      <c r="AU444" s="3"/>
      <c r="AV444" s="69"/>
      <c r="AZ444" s="30"/>
    </row>
    <row r="445">
      <c r="C445" s="3"/>
      <c r="D445" s="69"/>
      <c r="H445" s="69"/>
      <c r="O445" s="49"/>
      <c r="P445" s="69"/>
      <c r="S445" s="69"/>
      <c r="X445" s="69"/>
      <c r="AF445" s="69"/>
      <c r="AK445" s="69"/>
      <c r="AM445" s="69"/>
      <c r="AS445" s="69"/>
      <c r="AU445" s="3"/>
      <c r="AV445" s="69"/>
      <c r="AZ445" s="30"/>
    </row>
    <row r="446">
      <c r="C446" s="3"/>
      <c r="D446" s="69"/>
      <c r="H446" s="69"/>
      <c r="O446" s="49"/>
      <c r="P446" s="69"/>
      <c r="S446" s="69"/>
      <c r="X446" s="69"/>
      <c r="AF446" s="69"/>
      <c r="AK446" s="69"/>
      <c r="AM446" s="69"/>
      <c r="AS446" s="69"/>
      <c r="AU446" s="3"/>
      <c r="AV446" s="69"/>
      <c r="AZ446" s="30"/>
    </row>
    <row r="447">
      <c r="C447" s="3"/>
      <c r="D447" s="69"/>
      <c r="H447" s="69"/>
      <c r="O447" s="49"/>
      <c r="P447" s="69"/>
      <c r="S447" s="69"/>
      <c r="X447" s="69"/>
      <c r="AF447" s="69"/>
      <c r="AK447" s="69"/>
      <c r="AM447" s="69"/>
      <c r="AS447" s="69"/>
      <c r="AU447" s="3"/>
      <c r="AV447" s="69"/>
      <c r="AZ447" s="30"/>
    </row>
    <row r="448">
      <c r="C448" s="3"/>
      <c r="D448" s="69"/>
      <c r="H448" s="69"/>
      <c r="O448" s="49"/>
      <c r="P448" s="69"/>
      <c r="S448" s="69"/>
      <c r="X448" s="69"/>
      <c r="AF448" s="69"/>
      <c r="AK448" s="69"/>
      <c r="AM448" s="69"/>
      <c r="AS448" s="69"/>
      <c r="AU448" s="3"/>
      <c r="AV448" s="69"/>
      <c r="AZ448" s="30"/>
    </row>
    <row r="449">
      <c r="C449" s="3"/>
      <c r="D449" s="69"/>
      <c r="H449" s="69"/>
      <c r="O449" s="49"/>
      <c r="P449" s="69"/>
      <c r="S449" s="69"/>
      <c r="X449" s="69"/>
      <c r="AF449" s="69"/>
      <c r="AK449" s="69"/>
      <c r="AM449" s="69"/>
      <c r="AS449" s="69"/>
      <c r="AU449" s="3"/>
      <c r="AV449" s="69"/>
      <c r="AZ449" s="30"/>
    </row>
    <row r="450">
      <c r="C450" s="3"/>
      <c r="D450" s="69"/>
      <c r="H450" s="69"/>
      <c r="O450" s="49"/>
      <c r="P450" s="69"/>
      <c r="S450" s="69"/>
      <c r="X450" s="69"/>
      <c r="AF450" s="69"/>
      <c r="AK450" s="69"/>
      <c r="AM450" s="69"/>
      <c r="AS450" s="69"/>
      <c r="AU450" s="3"/>
      <c r="AV450" s="69"/>
      <c r="AZ450" s="30"/>
    </row>
    <row r="451">
      <c r="C451" s="3"/>
      <c r="D451" s="69"/>
      <c r="H451" s="69"/>
      <c r="O451" s="49"/>
      <c r="P451" s="69"/>
      <c r="S451" s="69"/>
      <c r="X451" s="69"/>
      <c r="AF451" s="69"/>
      <c r="AK451" s="69"/>
      <c r="AM451" s="69"/>
      <c r="AS451" s="69"/>
      <c r="AU451" s="3"/>
      <c r="AV451" s="69"/>
      <c r="AZ451" s="30"/>
    </row>
    <row r="452">
      <c r="C452" s="3"/>
      <c r="D452" s="69"/>
      <c r="H452" s="69"/>
      <c r="O452" s="49"/>
      <c r="P452" s="69"/>
      <c r="S452" s="69"/>
      <c r="X452" s="69"/>
      <c r="AF452" s="69"/>
      <c r="AK452" s="69"/>
      <c r="AM452" s="69"/>
      <c r="AS452" s="69"/>
      <c r="AU452" s="3"/>
      <c r="AV452" s="69"/>
      <c r="AZ452" s="30"/>
    </row>
    <row r="453">
      <c r="C453" s="3"/>
      <c r="D453" s="69"/>
      <c r="H453" s="69"/>
      <c r="O453" s="49"/>
      <c r="P453" s="69"/>
      <c r="S453" s="69"/>
      <c r="X453" s="69"/>
      <c r="AF453" s="69"/>
      <c r="AK453" s="69"/>
      <c r="AM453" s="69"/>
      <c r="AS453" s="69"/>
      <c r="AU453" s="3"/>
      <c r="AV453" s="69"/>
      <c r="AZ453" s="30"/>
    </row>
    <row r="454">
      <c r="C454" s="3"/>
      <c r="D454" s="69"/>
      <c r="H454" s="69"/>
      <c r="O454" s="49"/>
      <c r="P454" s="69"/>
      <c r="S454" s="69"/>
      <c r="X454" s="69"/>
      <c r="AF454" s="69"/>
      <c r="AK454" s="69"/>
      <c r="AM454" s="69"/>
      <c r="AS454" s="69"/>
      <c r="AU454" s="3"/>
      <c r="AV454" s="69"/>
      <c r="AZ454" s="30"/>
    </row>
    <row r="455">
      <c r="C455" s="3"/>
      <c r="D455" s="69"/>
      <c r="H455" s="69"/>
      <c r="O455" s="49"/>
      <c r="P455" s="69"/>
      <c r="S455" s="69"/>
      <c r="X455" s="69"/>
      <c r="AF455" s="69"/>
      <c r="AK455" s="69"/>
      <c r="AM455" s="69"/>
      <c r="AS455" s="69"/>
      <c r="AU455" s="3"/>
      <c r="AV455" s="69"/>
      <c r="AZ455" s="30"/>
    </row>
    <row r="456">
      <c r="C456" s="3"/>
      <c r="D456" s="69"/>
      <c r="H456" s="69"/>
      <c r="O456" s="49"/>
      <c r="P456" s="69"/>
      <c r="S456" s="69"/>
      <c r="X456" s="69"/>
      <c r="AF456" s="69"/>
      <c r="AK456" s="69"/>
      <c r="AM456" s="69"/>
      <c r="AS456" s="69"/>
      <c r="AU456" s="3"/>
      <c r="AV456" s="69"/>
      <c r="AZ456" s="30"/>
    </row>
    <row r="457">
      <c r="C457" s="3"/>
      <c r="D457" s="69"/>
      <c r="H457" s="69"/>
      <c r="O457" s="49"/>
      <c r="P457" s="69"/>
      <c r="S457" s="69"/>
      <c r="X457" s="69"/>
      <c r="AF457" s="69"/>
      <c r="AK457" s="69"/>
      <c r="AM457" s="69"/>
      <c r="AS457" s="69"/>
      <c r="AU457" s="3"/>
      <c r="AV457" s="69"/>
      <c r="AZ457" s="30"/>
    </row>
    <row r="458">
      <c r="C458" s="3"/>
      <c r="D458" s="69"/>
      <c r="H458" s="69"/>
      <c r="O458" s="49"/>
      <c r="P458" s="69"/>
      <c r="S458" s="69"/>
      <c r="X458" s="69"/>
      <c r="AF458" s="69"/>
      <c r="AK458" s="69"/>
      <c r="AM458" s="69"/>
      <c r="AS458" s="69"/>
      <c r="AU458" s="3"/>
      <c r="AV458" s="69"/>
      <c r="AZ458" s="30"/>
    </row>
    <row r="459">
      <c r="C459" s="3"/>
      <c r="D459" s="69"/>
      <c r="H459" s="69"/>
      <c r="O459" s="49"/>
      <c r="P459" s="69"/>
      <c r="S459" s="69"/>
      <c r="X459" s="69"/>
      <c r="AF459" s="69"/>
      <c r="AK459" s="69"/>
      <c r="AM459" s="69"/>
      <c r="AS459" s="69"/>
      <c r="AU459" s="3"/>
      <c r="AV459" s="69"/>
      <c r="AZ459" s="30"/>
    </row>
    <row r="460">
      <c r="C460" s="3"/>
      <c r="D460" s="69"/>
      <c r="H460" s="69"/>
      <c r="O460" s="49"/>
      <c r="P460" s="69"/>
      <c r="S460" s="69"/>
      <c r="X460" s="69"/>
      <c r="AF460" s="69"/>
      <c r="AK460" s="69"/>
      <c r="AM460" s="69"/>
      <c r="AS460" s="69"/>
      <c r="AU460" s="3"/>
      <c r="AV460" s="69"/>
      <c r="AZ460" s="30"/>
    </row>
    <row r="461">
      <c r="C461" s="3"/>
      <c r="D461" s="69"/>
      <c r="H461" s="69"/>
      <c r="O461" s="49"/>
      <c r="P461" s="69"/>
      <c r="S461" s="69"/>
      <c r="X461" s="69"/>
      <c r="AF461" s="69"/>
      <c r="AK461" s="69"/>
      <c r="AM461" s="69"/>
      <c r="AS461" s="69"/>
      <c r="AU461" s="3"/>
      <c r="AV461" s="69"/>
      <c r="AZ461" s="30"/>
    </row>
    <row r="462">
      <c r="C462" s="3"/>
      <c r="D462" s="69"/>
      <c r="H462" s="69"/>
      <c r="O462" s="49"/>
      <c r="P462" s="69"/>
      <c r="S462" s="69"/>
      <c r="X462" s="69"/>
      <c r="AF462" s="69"/>
      <c r="AK462" s="69"/>
      <c r="AM462" s="69"/>
      <c r="AS462" s="69"/>
      <c r="AU462" s="3"/>
      <c r="AV462" s="69"/>
      <c r="AZ462" s="30"/>
    </row>
    <row r="463">
      <c r="C463" s="3"/>
      <c r="D463" s="69"/>
      <c r="H463" s="69"/>
      <c r="O463" s="49"/>
      <c r="P463" s="69"/>
      <c r="S463" s="69"/>
      <c r="X463" s="69"/>
      <c r="AF463" s="69"/>
      <c r="AK463" s="69"/>
      <c r="AM463" s="69"/>
      <c r="AS463" s="69"/>
      <c r="AU463" s="3"/>
      <c r="AV463" s="69"/>
      <c r="AZ463" s="30"/>
    </row>
    <row r="464">
      <c r="C464" s="3"/>
      <c r="D464" s="69"/>
      <c r="H464" s="69"/>
      <c r="O464" s="49"/>
      <c r="P464" s="69"/>
      <c r="S464" s="69"/>
      <c r="X464" s="69"/>
      <c r="AF464" s="69"/>
      <c r="AK464" s="69"/>
      <c r="AM464" s="69"/>
      <c r="AS464" s="69"/>
      <c r="AU464" s="3"/>
      <c r="AV464" s="69"/>
      <c r="AZ464" s="30"/>
    </row>
    <row r="465">
      <c r="C465" s="3"/>
      <c r="D465" s="69"/>
      <c r="H465" s="69"/>
      <c r="O465" s="49"/>
      <c r="P465" s="69"/>
      <c r="S465" s="69"/>
      <c r="X465" s="69"/>
      <c r="AF465" s="69"/>
      <c r="AK465" s="69"/>
      <c r="AM465" s="69"/>
      <c r="AS465" s="69"/>
      <c r="AU465" s="3"/>
      <c r="AV465" s="69"/>
      <c r="AZ465" s="30"/>
    </row>
    <row r="466">
      <c r="C466" s="3"/>
      <c r="D466" s="69"/>
      <c r="H466" s="69"/>
      <c r="O466" s="49"/>
      <c r="P466" s="69"/>
      <c r="S466" s="69"/>
      <c r="X466" s="69"/>
      <c r="AF466" s="69"/>
      <c r="AK466" s="69"/>
      <c r="AM466" s="69"/>
      <c r="AS466" s="69"/>
      <c r="AU466" s="3"/>
      <c r="AV466" s="69"/>
      <c r="AZ466" s="30"/>
    </row>
    <row r="467">
      <c r="C467" s="3"/>
      <c r="D467" s="69"/>
      <c r="H467" s="69"/>
      <c r="O467" s="49"/>
      <c r="P467" s="69"/>
      <c r="S467" s="69"/>
      <c r="X467" s="69"/>
      <c r="AF467" s="69"/>
      <c r="AK467" s="69"/>
      <c r="AM467" s="69"/>
      <c r="AS467" s="69"/>
      <c r="AU467" s="3"/>
      <c r="AV467" s="69"/>
      <c r="AZ467" s="30"/>
    </row>
    <row r="468">
      <c r="C468" s="3"/>
      <c r="D468" s="69"/>
      <c r="H468" s="69"/>
      <c r="O468" s="49"/>
      <c r="P468" s="69"/>
      <c r="S468" s="69"/>
      <c r="X468" s="69"/>
      <c r="AF468" s="69"/>
      <c r="AK468" s="69"/>
      <c r="AM468" s="69"/>
      <c r="AS468" s="69"/>
      <c r="AU468" s="3"/>
      <c r="AV468" s="69"/>
      <c r="AZ468" s="30"/>
    </row>
    <row r="469">
      <c r="C469" s="3"/>
      <c r="D469" s="69"/>
      <c r="H469" s="69"/>
      <c r="O469" s="49"/>
      <c r="P469" s="69"/>
      <c r="S469" s="69"/>
      <c r="X469" s="69"/>
      <c r="AF469" s="69"/>
      <c r="AK469" s="69"/>
      <c r="AM469" s="69"/>
      <c r="AS469" s="69"/>
      <c r="AU469" s="3"/>
      <c r="AV469" s="69"/>
      <c r="AZ469" s="30"/>
    </row>
    <row r="470">
      <c r="C470" s="3"/>
      <c r="D470" s="69"/>
      <c r="H470" s="69"/>
      <c r="O470" s="49"/>
      <c r="P470" s="69"/>
      <c r="S470" s="69"/>
      <c r="X470" s="69"/>
      <c r="AF470" s="69"/>
      <c r="AK470" s="69"/>
      <c r="AM470" s="69"/>
      <c r="AS470" s="69"/>
      <c r="AU470" s="3"/>
      <c r="AV470" s="69"/>
      <c r="AZ470" s="30"/>
    </row>
    <row r="471">
      <c r="C471" s="3"/>
      <c r="D471" s="69"/>
      <c r="H471" s="69"/>
      <c r="O471" s="49"/>
      <c r="P471" s="69"/>
      <c r="S471" s="69"/>
      <c r="X471" s="69"/>
      <c r="AF471" s="69"/>
      <c r="AK471" s="69"/>
      <c r="AM471" s="69"/>
      <c r="AS471" s="69"/>
      <c r="AU471" s="3"/>
      <c r="AV471" s="69"/>
      <c r="AZ471" s="30"/>
    </row>
    <row r="472">
      <c r="C472" s="3"/>
      <c r="D472" s="69"/>
      <c r="H472" s="69"/>
      <c r="O472" s="49"/>
      <c r="P472" s="69"/>
      <c r="S472" s="69"/>
      <c r="X472" s="69"/>
      <c r="AF472" s="69"/>
      <c r="AK472" s="69"/>
      <c r="AM472" s="69"/>
      <c r="AS472" s="69"/>
      <c r="AU472" s="3"/>
      <c r="AV472" s="69"/>
      <c r="AZ472" s="30"/>
    </row>
    <row r="473">
      <c r="C473" s="3"/>
      <c r="D473" s="69"/>
      <c r="H473" s="69"/>
      <c r="O473" s="49"/>
      <c r="P473" s="69"/>
      <c r="S473" s="69"/>
      <c r="X473" s="69"/>
      <c r="AF473" s="69"/>
      <c r="AK473" s="69"/>
      <c r="AM473" s="69"/>
      <c r="AS473" s="69"/>
      <c r="AU473" s="3"/>
      <c r="AV473" s="69"/>
      <c r="AZ473" s="30"/>
    </row>
    <row r="474">
      <c r="C474" s="3"/>
      <c r="D474" s="69"/>
      <c r="H474" s="69"/>
      <c r="O474" s="49"/>
      <c r="P474" s="69"/>
      <c r="S474" s="69"/>
      <c r="X474" s="69"/>
      <c r="AF474" s="69"/>
      <c r="AK474" s="69"/>
      <c r="AM474" s="69"/>
      <c r="AS474" s="69"/>
      <c r="AU474" s="3"/>
      <c r="AV474" s="69"/>
      <c r="AZ474" s="30"/>
    </row>
    <row r="475">
      <c r="C475" s="3"/>
      <c r="D475" s="69"/>
      <c r="H475" s="69"/>
      <c r="O475" s="49"/>
      <c r="P475" s="69"/>
      <c r="S475" s="69"/>
      <c r="X475" s="69"/>
      <c r="AF475" s="69"/>
      <c r="AK475" s="69"/>
      <c r="AM475" s="69"/>
      <c r="AS475" s="69"/>
      <c r="AU475" s="3"/>
      <c r="AV475" s="69"/>
      <c r="AZ475" s="30"/>
    </row>
    <row r="476">
      <c r="C476" s="3"/>
      <c r="D476" s="69"/>
      <c r="H476" s="69"/>
      <c r="O476" s="49"/>
      <c r="P476" s="69"/>
      <c r="S476" s="69"/>
      <c r="X476" s="69"/>
      <c r="AF476" s="69"/>
      <c r="AK476" s="69"/>
      <c r="AM476" s="69"/>
      <c r="AS476" s="69"/>
      <c r="AU476" s="3"/>
      <c r="AV476" s="69"/>
      <c r="AZ476" s="30"/>
    </row>
    <row r="477">
      <c r="C477" s="3"/>
      <c r="D477" s="69"/>
      <c r="H477" s="69"/>
      <c r="O477" s="49"/>
      <c r="P477" s="69"/>
      <c r="S477" s="69"/>
      <c r="X477" s="69"/>
      <c r="AF477" s="69"/>
      <c r="AK477" s="69"/>
      <c r="AM477" s="69"/>
      <c r="AS477" s="69"/>
      <c r="AU477" s="3"/>
      <c r="AV477" s="69"/>
      <c r="AZ477" s="30"/>
    </row>
    <row r="478">
      <c r="C478" s="3"/>
      <c r="D478" s="69"/>
      <c r="H478" s="69"/>
      <c r="O478" s="49"/>
      <c r="P478" s="69"/>
      <c r="S478" s="69"/>
      <c r="X478" s="69"/>
      <c r="AF478" s="69"/>
      <c r="AK478" s="69"/>
      <c r="AM478" s="69"/>
      <c r="AS478" s="69"/>
      <c r="AU478" s="3"/>
      <c r="AV478" s="69"/>
      <c r="AZ478" s="30"/>
    </row>
    <row r="479">
      <c r="C479" s="3"/>
      <c r="D479" s="69"/>
      <c r="H479" s="69"/>
      <c r="O479" s="49"/>
      <c r="P479" s="69"/>
      <c r="S479" s="69"/>
      <c r="X479" s="69"/>
      <c r="AF479" s="69"/>
      <c r="AK479" s="69"/>
      <c r="AM479" s="69"/>
      <c r="AS479" s="69"/>
      <c r="AU479" s="3"/>
      <c r="AV479" s="69"/>
      <c r="AZ479" s="30"/>
    </row>
    <row r="480">
      <c r="C480" s="3"/>
      <c r="D480" s="69"/>
      <c r="H480" s="69"/>
      <c r="O480" s="49"/>
      <c r="P480" s="69"/>
      <c r="S480" s="69"/>
      <c r="X480" s="69"/>
      <c r="AF480" s="69"/>
      <c r="AK480" s="69"/>
      <c r="AM480" s="69"/>
      <c r="AS480" s="69"/>
      <c r="AU480" s="3"/>
      <c r="AV480" s="69"/>
      <c r="AZ480" s="30"/>
    </row>
    <row r="481">
      <c r="C481" s="3"/>
      <c r="D481" s="69"/>
      <c r="H481" s="69"/>
      <c r="O481" s="49"/>
      <c r="P481" s="69"/>
      <c r="S481" s="69"/>
      <c r="X481" s="69"/>
      <c r="AF481" s="69"/>
      <c r="AK481" s="69"/>
      <c r="AM481" s="69"/>
      <c r="AS481" s="69"/>
      <c r="AU481" s="3"/>
      <c r="AV481" s="69"/>
      <c r="AZ481" s="30"/>
    </row>
    <row r="482">
      <c r="C482" s="3"/>
      <c r="D482" s="69"/>
      <c r="H482" s="69"/>
      <c r="O482" s="49"/>
      <c r="P482" s="69"/>
      <c r="S482" s="69"/>
      <c r="X482" s="69"/>
      <c r="AF482" s="69"/>
      <c r="AK482" s="69"/>
      <c r="AM482" s="69"/>
      <c r="AS482" s="69"/>
      <c r="AU482" s="3"/>
      <c r="AV482" s="69"/>
      <c r="AZ482" s="30"/>
    </row>
    <row r="483">
      <c r="C483" s="3"/>
      <c r="D483" s="69"/>
      <c r="H483" s="69"/>
      <c r="O483" s="49"/>
      <c r="P483" s="69"/>
      <c r="S483" s="69"/>
      <c r="X483" s="69"/>
      <c r="AF483" s="69"/>
      <c r="AK483" s="69"/>
      <c r="AM483" s="69"/>
      <c r="AS483" s="69"/>
      <c r="AU483" s="3"/>
      <c r="AV483" s="69"/>
      <c r="AZ483" s="30"/>
    </row>
    <row r="484">
      <c r="C484" s="3"/>
      <c r="D484" s="69"/>
      <c r="H484" s="69"/>
      <c r="O484" s="49"/>
      <c r="P484" s="69"/>
      <c r="S484" s="69"/>
      <c r="X484" s="69"/>
      <c r="AF484" s="69"/>
      <c r="AK484" s="69"/>
      <c r="AM484" s="69"/>
      <c r="AS484" s="69"/>
      <c r="AU484" s="3"/>
      <c r="AV484" s="69"/>
      <c r="AZ484" s="30"/>
    </row>
    <row r="485">
      <c r="C485" s="3"/>
      <c r="D485" s="69"/>
      <c r="H485" s="69"/>
      <c r="O485" s="49"/>
      <c r="P485" s="69"/>
      <c r="S485" s="69"/>
      <c r="X485" s="69"/>
      <c r="AF485" s="69"/>
      <c r="AK485" s="69"/>
      <c r="AM485" s="69"/>
      <c r="AS485" s="69"/>
      <c r="AU485" s="3"/>
      <c r="AV485" s="69"/>
      <c r="AZ485" s="30"/>
    </row>
    <row r="486">
      <c r="C486" s="3"/>
      <c r="D486" s="69"/>
      <c r="H486" s="69"/>
      <c r="O486" s="49"/>
      <c r="P486" s="69"/>
      <c r="S486" s="69"/>
      <c r="X486" s="69"/>
      <c r="AF486" s="69"/>
      <c r="AK486" s="69"/>
      <c r="AM486" s="69"/>
      <c r="AS486" s="69"/>
      <c r="AU486" s="3"/>
      <c r="AV486" s="69"/>
      <c r="AZ486" s="30"/>
    </row>
    <row r="487">
      <c r="C487" s="3"/>
      <c r="D487" s="69"/>
      <c r="H487" s="69"/>
      <c r="O487" s="49"/>
      <c r="P487" s="69"/>
      <c r="S487" s="69"/>
      <c r="X487" s="69"/>
      <c r="AF487" s="69"/>
      <c r="AK487" s="69"/>
      <c r="AM487" s="69"/>
      <c r="AS487" s="69"/>
      <c r="AU487" s="3"/>
      <c r="AV487" s="69"/>
      <c r="AZ487" s="30"/>
    </row>
    <row r="488">
      <c r="C488" s="3"/>
      <c r="D488" s="69"/>
      <c r="H488" s="69"/>
      <c r="O488" s="49"/>
      <c r="P488" s="69"/>
      <c r="S488" s="69"/>
      <c r="X488" s="69"/>
      <c r="AF488" s="69"/>
      <c r="AK488" s="69"/>
      <c r="AM488" s="69"/>
      <c r="AS488" s="69"/>
      <c r="AU488" s="3"/>
      <c r="AV488" s="69"/>
      <c r="AZ488" s="30"/>
    </row>
    <row r="489">
      <c r="C489" s="3"/>
      <c r="D489" s="69"/>
      <c r="H489" s="69"/>
      <c r="O489" s="49"/>
      <c r="P489" s="69"/>
      <c r="S489" s="69"/>
      <c r="X489" s="69"/>
      <c r="AF489" s="69"/>
      <c r="AK489" s="69"/>
      <c r="AM489" s="69"/>
      <c r="AS489" s="69"/>
      <c r="AU489" s="3"/>
      <c r="AV489" s="69"/>
      <c r="AZ489" s="30"/>
    </row>
    <row r="490">
      <c r="C490" s="3"/>
      <c r="D490" s="69"/>
      <c r="H490" s="69"/>
      <c r="O490" s="49"/>
      <c r="P490" s="69"/>
      <c r="S490" s="69"/>
      <c r="X490" s="69"/>
      <c r="AF490" s="69"/>
      <c r="AK490" s="69"/>
      <c r="AM490" s="69"/>
      <c r="AS490" s="69"/>
      <c r="AU490" s="3"/>
      <c r="AV490" s="69"/>
      <c r="AZ490" s="30"/>
    </row>
    <row r="491">
      <c r="C491" s="3"/>
      <c r="D491" s="69"/>
      <c r="H491" s="69"/>
      <c r="O491" s="49"/>
      <c r="P491" s="69"/>
      <c r="S491" s="69"/>
      <c r="X491" s="69"/>
      <c r="AF491" s="69"/>
      <c r="AK491" s="69"/>
      <c r="AM491" s="69"/>
      <c r="AS491" s="69"/>
      <c r="AU491" s="3"/>
      <c r="AV491" s="69"/>
      <c r="AZ491" s="30"/>
    </row>
    <row r="492">
      <c r="C492" s="3"/>
      <c r="D492" s="69"/>
      <c r="H492" s="69"/>
      <c r="O492" s="49"/>
      <c r="P492" s="69"/>
      <c r="S492" s="69"/>
      <c r="X492" s="69"/>
      <c r="AF492" s="69"/>
      <c r="AK492" s="69"/>
      <c r="AM492" s="69"/>
      <c r="AS492" s="69"/>
      <c r="AU492" s="3"/>
      <c r="AV492" s="69"/>
      <c r="AZ492" s="30"/>
    </row>
    <row r="493">
      <c r="C493" s="3"/>
      <c r="D493" s="69"/>
      <c r="H493" s="69"/>
      <c r="O493" s="49"/>
      <c r="P493" s="69"/>
      <c r="S493" s="69"/>
      <c r="X493" s="69"/>
      <c r="AF493" s="69"/>
      <c r="AK493" s="69"/>
      <c r="AM493" s="69"/>
      <c r="AS493" s="69"/>
      <c r="AU493" s="3"/>
      <c r="AV493" s="69"/>
      <c r="AZ493" s="30"/>
    </row>
    <row r="494">
      <c r="C494" s="3"/>
      <c r="D494" s="69"/>
      <c r="H494" s="69"/>
      <c r="O494" s="49"/>
      <c r="P494" s="69"/>
      <c r="S494" s="69"/>
      <c r="X494" s="69"/>
      <c r="AF494" s="69"/>
      <c r="AK494" s="69"/>
      <c r="AM494" s="69"/>
      <c r="AS494" s="69"/>
      <c r="AU494" s="3"/>
      <c r="AV494" s="69"/>
      <c r="AZ494" s="30"/>
    </row>
    <row r="495">
      <c r="C495" s="3"/>
      <c r="D495" s="69"/>
      <c r="H495" s="69"/>
      <c r="O495" s="49"/>
      <c r="P495" s="69"/>
      <c r="S495" s="69"/>
      <c r="X495" s="69"/>
      <c r="AF495" s="69"/>
      <c r="AK495" s="69"/>
      <c r="AM495" s="69"/>
      <c r="AS495" s="69"/>
      <c r="AU495" s="3"/>
      <c r="AV495" s="69"/>
      <c r="AZ495" s="30"/>
    </row>
    <row r="496">
      <c r="C496" s="3"/>
      <c r="D496" s="69"/>
      <c r="H496" s="69"/>
      <c r="O496" s="49"/>
      <c r="P496" s="69"/>
      <c r="S496" s="69"/>
      <c r="X496" s="69"/>
      <c r="AF496" s="69"/>
      <c r="AK496" s="69"/>
      <c r="AM496" s="69"/>
      <c r="AS496" s="69"/>
      <c r="AU496" s="3"/>
      <c r="AV496" s="69"/>
      <c r="AZ496" s="30"/>
    </row>
    <row r="497">
      <c r="C497" s="3"/>
      <c r="D497" s="69"/>
      <c r="H497" s="69"/>
      <c r="O497" s="49"/>
      <c r="P497" s="69"/>
      <c r="S497" s="69"/>
      <c r="X497" s="69"/>
      <c r="AF497" s="69"/>
      <c r="AK497" s="69"/>
      <c r="AM497" s="69"/>
      <c r="AS497" s="69"/>
      <c r="AU497" s="3"/>
      <c r="AV497" s="69"/>
      <c r="AZ497" s="30"/>
    </row>
    <row r="498">
      <c r="C498" s="3"/>
      <c r="D498" s="69"/>
      <c r="H498" s="69"/>
      <c r="O498" s="49"/>
      <c r="P498" s="69"/>
      <c r="S498" s="69"/>
      <c r="X498" s="69"/>
      <c r="AF498" s="69"/>
      <c r="AK498" s="69"/>
      <c r="AM498" s="69"/>
      <c r="AS498" s="69"/>
      <c r="AU498" s="3"/>
      <c r="AV498" s="69"/>
      <c r="AZ498" s="30"/>
    </row>
    <row r="499">
      <c r="C499" s="3"/>
      <c r="D499" s="69"/>
      <c r="H499" s="69"/>
      <c r="O499" s="49"/>
      <c r="P499" s="69"/>
      <c r="S499" s="69"/>
      <c r="X499" s="69"/>
      <c r="AF499" s="69"/>
      <c r="AK499" s="69"/>
      <c r="AM499" s="69"/>
      <c r="AS499" s="69"/>
      <c r="AU499" s="3"/>
      <c r="AV499" s="69"/>
      <c r="AZ499" s="30"/>
    </row>
    <row r="500">
      <c r="C500" s="3"/>
      <c r="D500" s="69"/>
      <c r="H500" s="69"/>
      <c r="O500" s="49"/>
      <c r="P500" s="69"/>
      <c r="S500" s="69"/>
      <c r="X500" s="69"/>
      <c r="AF500" s="69"/>
      <c r="AK500" s="69"/>
      <c r="AM500" s="69"/>
      <c r="AS500" s="69"/>
      <c r="AU500" s="3"/>
      <c r="AV500" s="69"/>
      <c r="AZ500" s="30"/>
    </row>
    <row r="501">
      <c r="C501" s="3"/>
      <c r="D501" s="69"/>
      <c r="H501" s="69"/>
      <c r="O501" s="49"/>
      <c r="P501" s="69"/>
      <c r="S501" s="69"/>
      <c r="X501" s="69"/>
      <c r="AF501" s="69"/>
      <c r="AK501" s="69"/>
      <c r="AM501" s="69"/>
      <c r="AS501" s="69"/>
      <c r="AU501" s="3"/>
      <c r="AV501" s="69"/>
      <c r="AZ501" s="30"/>
    </row>
    <row r="502">
      <c r="C502" s="3"/>
      <c r="D502" s="69"/>
      <c r="H502" s="69"/>
      <c r="O502" s="49"/>
      <c r="P502" s="69"/>
      <c r="S502" s="69"/>
      <c r="X502" s="69"/>
      <c r="AF502" s="69"/>
      <c r="AK502" s="69"/>
      <c r="AM502" s="69"/>
      <c r="AS502" s="69"/>
      <c r="AU502" s="3"/>
      <c r="AV502" s="69"/>
      <c r="AZ502" s="30"/>
    </row>
    <row r="503">
      <c r="C503" s="3"/>
      <c r="D503" s="69"/>
      <c r="H503" s="69"/>
      <c r="O503" s="49"/>
      <c r="P503" s="69"/>
      <c r="S503" s="69"/>
      <c r="X503" s="69"/>
      <c r="AF503" s="69"/>
      <c r="AK503" s="69"/>
      <c r="AM503" s="69"/>
      <c r="AS503" s="69"/>
      <c r="AU503" s="3"/>
      <c r="AV503" s="69"/>
      <c r="AZ503" s="30"/>
    </row>
    <row r="504">
      <c r="C504" s="3"/>
      <c r="D504" s="69"/>
      <c r="H504" s="69"/>
      <c r="O504" s="49"/>
      <c r="P504" s="69"/>
      <c r="S504" s="69"/>
      <c r="X504" s="69"/>
      <c r="AF504" s="69"/>
      <c r="AK504" s="69"/>
      <c r="AM504" s="69"/>
      <c r="AS504" s="69"/>
      <c r="AU504" s="3"/>
      <c r="AV504" s="69"/>
      <c r="AZ504" s="30"/>
    </row>
    <row r="505">
      <c r="C505" s="3"/>
      <c r="D505" s="69"/>
      <c r="H505" s="69"/>
      <c r="O505" s="49"/>
      <c r="P505" s="69"/>
      <c r="S505" s="69"/>
      <c r="X505" s="69"/>
      <c r="AF505" s="69"/>
      <c r="AK505" s="69"/>
      <c r="AM505" s="69"/>
      <c r="AS505" s="69"/>
      <c r="AU505" s="3"/>
      <c r="AV505" s="69"/>
      <c r="AZ505" s="30"/>
    </row>
    <row r="506">
      <c r="C506" s="3"/>
      <c r="D506" s="69"/>
      <c r="H506" s="69"/>
      <c r="O506" s="49"/>
      <c r="P506" s="69"/>
      <c r="S506" s="69"/>
      <c r="X506" s="69"/>
      <c r="AF506" s="69"/>
      <c r="AK506" s="69"/>
      <c r="AM506" s="69"/>
      <c r="AS506" s="69"/>
      <c r="AU506" s="3"/>
      <c r="AV506" s="69"/>
      <c r="AZ506" s="30"/>
    </row>
    <row r="507">
      <c r="C507" s="3"/>
      <c r="D507" s="69"/>
      <c r="H507" s="69"/>
      <c r="O507" s="49"/>
      <c r="P507" s="69"/>
      <c r="S507" s="69"/>
      <c r="X507" s="69"/>
      <c r="AF507" s="69"/>
      <c r="AK507" s="69"/>
      <c r="AM507" s="69"/>
      <c r="AS507" s="69"/>
      <c r="AU507" s="3"/>
      <c r="AV507" s="69"/>
      <c r="AZ507" s="30"/>
    </row>
    <row r="508">
      <c r="C508" s="3"/>
      <c r="D508" s="69"/>
      <c r="H508" s="69"/>
      <c r="O508" s="49"/>
      <c r="P508" s="69"/>
      <c r="S508" s="69"/>
      <c r="X508" s="69"/>
      <c r="AF508" s="69"/>
      <c r="AK508" s="69"/>
      <c r="AM508" s="69"/>
      <c r="AS508" s="69"/>
      <c r="AU508" s="3"/>
      <c r="AV508" s="69"/>
      <c r="AZ508" s="30"/>
    </row>
    <row r="509">
      <c r="C509" s="3"/>
      <c r="D509" s="69"/>
      <c r="H509" s="69"/>
      <c r="O509" s="49"/>
      <c r="P509" s="69"/>
      <c r="S509" s="69"/>
      <c r="X509" s="69"/>
      <c r="AF509" s="69"/>
      <c r="AK509" s="69"/>
      <c r="AM509" s="69"/>
      <c r="AS509" s="69"/>
      <c r="AU509" s="3"/>
      <c r="AV509" s="69"/>
      <c r="AZ509" s="30"/>
    </row>
    <row r="510">
      <c r="C510" s="3"/>
      <c r="D510" s="69"/>
      <c r="H510" s="69"/>
      <c r="O510" s="49"/>
      <c r="P510" s="69"/>
      <c r="S510" s="69"/>
      <c r="X510" s="69"/>
      <c r="AF510" s="69"/>
      <c r="AK510" s="69"/>
      <c r="AM510" s="69"/>
      <c r="AS510" s="69"/>
      <c r="AU510" s="3"/>
      <c r="AV510" s="69"/>
      <c r="AZ510" s="30"/>
    </row>
    <row r="511">
      <c r="C511" s="3"/>
      <c r="D511" s="69"/>
      <c r="H511" s="69"/>
      <c r="O511" s="49"/>
      <c r="P511" s="69"/>
      <c r="S511" s="69"/>
      <c r="X511" s="69"/>
      <c r="AF511" s="69"/>
      <c r="AK511" s="69"/>
      <c r="AM511" s="69"/>
      <c r="AS511" s="69"/>
      <c r="AU511" s="3"/>
      <c r="AV511" s="69"/>
      <c r="AZ511" s="30"/>
    </row>
    <row r="512">
      <c r="C512" s="3"/>
      <c r="D512" s="69"/>
      <c r="H512" s="69"/>
      <c r="O512" s="49"/>
      <c r="P512" s="69"/>
      <c r="S512" s="69"/>
      <c r="X512" s="69"/>
      <c r="AF512" s="69"/>
      <c r="AK512" s="69"/>
      <c r="AM512" s="69"/>
      <c r="AS512" s="69"/>
      <c r="AU512" s="3"/>
      <c r="AV512" s="69"/>
      <c r="AZ512" s="30"/>
    </row>
    <row r="513">
      <c r="C513" s="3"/>
      <c r="D513" s="69"/>
      <c r="H513" s="69"/>
      <c r="O513" s="49"/>
      <c r="P513" s="69"/>
      <c r="S513" s="69"/>
      <c r="X513" s="69"/>
      <c r="AF513" s="69"/>
      <c r="AK513" s="69"/>
      <c r="AM513" s="69"/>
      <c r="AS513" s="69"/>
      <c r="AU513" s="3"/>
      <c r="AV513" s="69"/>
      <c r="AZ513" s="30"/>
    </row>
    <row r="514">
      <c r="C514" s="3"/>
      <c r="D514" s="69"/>
      <c r="H514" s="69"/>
      <c r="O514" s="49"/>
      <c r="P514" s="69"/>
      <c r="S514" s="69"/>
      <c r="X514" s="69"/>
      <c r="AF514" s="69"/>
      <c r="AK514" s="69"/>
      <c r="AM514" s="69"/>
      <c r="AS514" s="69"/>
      <c r="AU514" s="3"/>
      <c r="AV514" s="69"/>
      <c r="AZ514" s="30"/>
    </row>
    <row r="515">
      <c r="C515" s="3"/>
      <c r="D515" s="69"/>
      <c r="H515" s="69"/>
      <c r="O515" s="49"/>
      <c r="P515" s="69"/>
      <c r="S515" s="69"/>
      <c r="X515" s="69"/>
      <c r="AF515" s="69"/>
      <c r="AK515" s="69"/>
      <c r="AM515" s="69"/>
      <c r="AS515" s="69"/>
      <c r="AU515" s="3"/>
      <c r="AV515" s="69"/>
      <c r="AZ515" s="30"/>
    </row>
    <row r="516">
      <c r="C516" s="3"/>
      <c r="D516" s="69"/>
      <c r="H516" s="69"/>
      <c r="O516" s="49"/>
      <c r="P516" s="69"/>
      <c r="S516" s="69"/>
      <c r="X516" s="69"/>
      <c r="AF516" s="69"/>
      <c r="AK516" s="69"/>
      <c r="AM516" s="69"/>
      <c r="AS516" s="69"/>
      <c r="AU516" s="3"/>
      <c r="AV516" s="69"/>
      <c r="AZ516" s="30"/>
    </row>
    <row r="517">
      <c r="C517" s="3"/>
      <c r="D517" s="69"/>
      <c r="H517" s="69"/>
      <c r="O517" s="49"/>
      <c r="P517" s="69"/>
      <c r="S517" s="69"/>
      <c r="X517" s="69"/>
      <c r="AF517" s="69"/>
      <c r="AK517" s="69"/>
      <c r="AM517" s="69"/>
      <c r="AS517" s="69"/>
      <c r="AU517" s="3"/>
      <c r="AV517" s="69"/>
      <c r="AZ517" s="30"/>
    </row>
    <row r="518">
      <c r="C518" s="3"/>
      <c r="D518" s="69"/>
      <c r="H518" s="69"/>
      <c r="O518" s="49"/>
      <c r="P518" s="69"/>
      <c r="S518" s="69"/>
      <c r="X518" s="69"/>
      <c r="AF518" s="69"/>
      <c r="AK518" s="69"/>
      <c r="AM518" s="69"/>
      <c r="AS518" s="69"/>
      <c r="AU518" s="3"/>
      <c r="AV518" s="69"/>
      <c r="AZ518" s="30"/>
    </row>
    <row r="519">
      <c r="C519" s="3"/>
      <c r="D519" s="69"/>
      <c r="H519" s="69"/>
      <c r="O519" s="49"/>
      <c r="P519" s="69"/>
      <c r="S519" s="69"/>
      <c r="X519" s="69"/>
      <c r="AF519" s="69"/>
      <c r="AK519" s="69"/>
      <c r="AM519" s="69"/>
      <c r="AS519" s="69"/>
      <c r="AU519" s="3"/>
      <c r="AV519" s="69"/>
      <c r="AZ519" s="30"/>
    </row>
    <row r="520">
      <c r="C520" s="3"/>
      <c r="D520" s="69"/>
      <c r="H520" s="69"/>
      <c r="O520" s="49"/>
      <c r="P520" s="69"/>
      <c r="S520" s="69"/>
      <c r="X520" s="69"/>
      <c r="AF520" s="69"/>
      <c r="AK520" s="69"/>
      <c r="AM520" s="69"/>
      <c r="AS520" s="69"/>
      <c r="AU520" s="3"/>
      <c r="AV520" s="69"/>
      <c r="AZ520" s="30"/>
    </row>
    <row r="521">
      <c r="C521" s="3"/>
      <c r="D521" s="69"/>
      <c r="H521" s="69"/>
      <c r="O521" s="49"/>
      <c r="P521" s="69"/>
      <c r="S521" s="69"/>
      <c r="X521" s="69"/>
      <c r="AF521" s="69"/>
      <c r="AK521" s="69"/>
      <c r="AM521" s="69"/>
      <c r="AS521" s="69"/>
      <c r="AU521" s="3"/>
      <c r="AV521" s="69"/>
      <c r="AZ521" s="30"/>
    </row>
    <row r="522">
      <c r="C522" s="3"/>
      <c r="D522" s="69"/>
      <c r="H522" s="69"/>
      <c r="O522" s="49"/>
      <c r="P522" s="69"/>
      <c r="S522" s="69"/>
      <c r="X522" s="69"/>
      <c r="AF522" s="69"/>
      <c r="AK522" s="69"/>
      <c r="AM522" s="69"/>
      <c r="AS522" s="69"/>
      <c r="AU522" s="3"/>
      <c r="AV522" s="69"/>
      <c r="AZ522" s="30"/>
    </row>
    <row r="523">
      <c r="C523" s="3"/>
      <c r="D523" s="69"/>
      <c r="H523" s="69"/>
      <c r="O523" s="49"/>
      <c r="P523" s="69"/>
      <c r="S523" s="69"/>
      <c r="X523" s="69"/>
      <c r="AF523" s="69"/>
      <c r="AK523" s="69"/>
      <c r="AM523" s="69"/>
      <c r="AS523" s="69"/>
      <c r="AU523" s="3"/>
      <c r="AV523" s="69"/>
      <c r="AZ523" s="30"/>
    </row>
    <row r="524">
      <c r="C524" s="3"/>
      <c r="D524" s="69"/>
      <c r="H524" s="69"/>
      <c r="O524" s="49"/>
      <c r="P524" s="69"/>
      <c r="S524" s="69"/>
      <c r="X524" s="69"/>
      <c r="AF524" s="69"/>
      <c r="AK524" s="69"/>
      <c r="AM524" s="69"/>
      <c r="AS524" s="69"/>
      <c r="AU524" s="3"/>
      <c r="AV524" s="69"/>
      <c r="AZ524" s="30"/>
    </row>
    <row r="525">
      <c r="C525" s="3"/>
      <c r="D525" s="69"/>
      <c r="H525" s="69"/>
      <c r="O525" s="49"/>
      <c r="P525" s="69"/>
      <c r="S525" s="69"/>
      <c r="X525" s="69"/>
      <c r="AF525" s="69"/>
      <c r="AK525" s="69"/>
      <c r="AM525" s="69"/>
      <c r="AS525" s="69"/>
      <c r="AU525" s="3"/>
      <c r="AV525" s="69"/>
      <c r="AZ525" s="30"/>
    </row>
    <row r="526">
      <c r="C526" s="3"/>
      <c r="D526" s="69"/>
      <c r="H526" s="69"/>
      <c r="O526" s="49"/>
      <c r="P526" s="69"/>
      <c r="S526" s="69"/>
      <c r="X526" s="69"/>
      <c r="AF526" s="69"/>
      <c r="AK526" s="69"/>
      <c r="AM526" s="69"/>
      <c r="AS526" s="69"/>
      <c r="AU526" s="3"/>
      <c r="AV526" s="69"/>
      <c r="AZ526" s="30"/>
    </row>
    <row r="527">
      <c r="C527" s="3"/>
      <c r="D527" s="69"/>
      <c r="H527" s="69"/>
      <c r="O527" s="49"/>
      <c r="P527" s="69"/>
      <c r="S527" s="69"/>
      <c r="X527" s="69"/>
      <c r="AF527" s="69"/>
      <c r="AK527" s="69"/>
      <c r="AM527" s="69"/>
      <c r="AS527" s="69"/>
      <c r="AU527" s="3"/>
      <c r="AV527" s="69"/>
      <c r="AZ527" s="30"/>
    </row>
    <row r="528">
      <c r="C528" s="3"/>
      <c r="D528" s="69"/>
      <c r="H528" s="69"/>
      <c r="O528" s="49"/>
      <c r="P528" s="69"/>
      <c r="S528" s="69"/>
      <c r="X528" s="69"/>
      <c r="AF528" s="69"/>
      <c r="AK528" s="69"/>
      <c r="AM528" s="69"/>
      <c r="AS528" s="69"/>
      <c r="AU528" s="3"/>
      <c r="AV528" s="69"/>
      <c r="AZ528" s="30"/>
    </row>
    <row r="529">
      <c r="C529" s="3"/>
      <c r="D529" s="69"/>
      <c r="H529" s="69"/>
      <c r="O529" s="49"/>
      <c r="P529" s="69"/>
      <c r="S529" s="69"/>
      <c r="X529" s="69"/>
      <c r="AF529" s="69"/>
      <c r="AK529" s="69"/>
      <c r="AM529" s="69"/>
      <c r="AS529" s="69"/>
      <c r="AU529" s="3"/>
      <c r="AV529" s="69"/>
      <c r="AZ529" s="30"/>
    </row>
    <row r="530">
      <c r="C530" s="3"/>
      <c r="D530" s="69"/>
      <c r="H530" s="69"/>
      <c r="O530" s="49"/>
      <c r="P530" s="69"/>
      <c r="S530" s="69"/>
      <c r="X530" s="69"/>
      <c r="AF530" s="69"/>
      <c r="AK530" s="69"/>
      <c r="AM530" s="69"/>
      <c r="AS530" s="69"/>
      <c r="AU530" s="3"/>
      <c r="AV530" s="69"/>
      <c r="AZ530" s="30"/>
    </row>
    <row r="531">
      <c r="C531" s="3"/>
      <c r="D531" s="69"/>
      <c r="H531" s="69"/>
      <c r="O531" s="49"/>
      <c r="P531" s="69"/>
      <c r="S531" s="69"/>
      <c r="X531" s="69"/>
      <c r="AF531" s="69"/>
      <c r="AK531" s="69"/>
      <c r="AM531" s="69"/>
      <c r="AS531" s="69"/>
      <c r="AU531" s="3"/>
      <c r="AV531" s="69"/>
      <c r="AZ531" s="30"/>
    </row>
    <row r="532">
      <c r="C532" s="3"/>
      <c r="D532" s="69"/>
      <c r="H532" s="69"/>
      <c r="O532" s="49"/>
      <c r="P532" s="69"/>
      <c r="S532" s="69"/>
      <c r="X532" s="69"/>
      <c r="AF532" s="69"/>
      <c r="AK532" s="69"/>
      <c r="AM532" s="69"/>
      <c r="AS532" s="69"/>
      <c r="AU532" s="3"/>
      <c r="AV532" s="69"/>
      <c r="AZ532" s="30"/>
    </row>
    <row r="533">
      <c r="C533" s="3"/>
      <c r="D533" s="69"/>
      <c r="H533" s="69"/>
      <c r="O533" s="49"/>
      <c r="P533" s="69"/>
      <c r="S533" s="69"/>
      <c r="X533" s="69"/>
      <c r="AF533" s="69"/>
      <c r="AK533" s="69"/>
      <c r="AM533" s="69"/>
      <c r="AS533" s="69"/>
      <c r="AU533" s="3"/>
      <c r="AV533" s="69"/>
      <c r="AZ533" s="30"/>
    </row>
    <row r="534">
      <c r="C534" s="3"/>
      <c r="D534" s="69"/>
      <c r="H534" s="69"/>
      <c r="O534" s="49"/>
      <c r="P534" s="69"/>
      <c r="S534" s="69"/>
      <c r="X534" s="69"/>
      <c r="AF534" s="69"/>
      <c r="AK534" s="69"/>
      <c r="AM534" s="69"/>
      <c r="AS534" s="69"/>
      <c r="AU534" s="3"/>
      <c r="AV534" s="69"/>
      <c r="AZ534" s="30"/>
    </row>
    <row r="535">
      <c r="C535" s="3"/>
      <c r="D535" s="69"/>
      <c r="H535" s="69"/>
      <c r="O535" s="49"/>
      <c r="P535" s="69"/>
      <c r="S535" s="69"/>
      <c r="X535" s="69"/>
      <c r="AF535" s="69"/>
      <c r="AK535" s="69"/>
      <c r="AM535" s="69"/>
      <c r="AS535" s="69"/>
      <c r="AU535" s="3"/>
      <c r="AV535" s="69"/>
      <c r="AZ535" s="30"/>
    </row>
    <row r="536">
      <c r="C536" s="3"/>
      <c r="D536" s="69"/>
      <c r="H536" s="69"/>
      <c r="O536" s="49"/>
      <c r="P536" s="69"/>
      <c r="S536" s="69"/>
      <c r="X536" s="69"/>
      <c r="AF536" s="69"/>
      <c r="AK536" s="69"/>
      <c r="AM536" s="69"/>
      <c r="AS536" s="69"/>
      <c r="AU536" s="3"/>
      <c r="AV536" s="69"/>
      <c r="AZ536" s="30"/>
    </row>
    <row r="537">
      <c r="C537" s="3"/>
      <c r="D537" s="69"/>
      <c r="H537" s="69"/>
      <c r="O537" s="49"/>
      <c r="P537" s="69"/>
      <c r="S537" s="69"/>
      <c r="X537" s="69"/>
      <c r="AF537" s="69"/>
      <c r="AK537" s="69"/>
      <c r="AM537" s="69"/>
      <c r="AS537" s="69"/>
      <c r="AU537" s="3"/>
      <c r="AV537" s="69"/>
      <c r="AZ537" s="30"/>
    </row>
    <row r="538">
      <c r="C538" s="3"/>
      <c r="D538" s="69"/>
      <c r="H538" s="69"/>
      <c r="O538" s="49"/>
      <c r="P538" s="69"/>
      <c r="S538" s="69"/>
      <c r="X538" s="69"/>
      <c r="AF538" s="69"/>
      <c r="AK538" s="69"/>
      <c r="AM538" s="69"/>
      <c r="AS538" s="69"/>
      <c r="AU538" s="3"/>
      <c r="AV538" s="69"/>
      <c r="AZ538" s="30"/>
    </row>
    <row r="539">
      <c r="C539" s="3"/>
      <c r="D539" s="69"/>
      <c r="H539" s="69"/>
      <c r="O539" s="49"/>
      <c r="P539" s="69"/>
      <c r="S539" s="69"/>
      <c r="X539" s="69"/>
      <c r="AF539" s="69"/>
      <c r="AK539" s="69"/>
      <c r="AM539" s="69"/>
      <c r="AS539" s="69"/>
      <c r="AU539" s="3"/>
      <c r="AV539" s="69"/>
      <c r="AZ539" s="30"/>
    </row>
    <row r="540">
      <c r="C540" s="3"/>
      <c r="D540" s="69"/>
      <c r="H540" s="69"/>
      <c r="O540" s="49"/>
      <c r="P540" s="69"/>
      <c r="S540" s="69"/>
      <c r="X540" s="69"/>
      <c r="AF540" s="69"/>
      <c r="AK540" s="69"/>
      <c r="AM540" s="69"/>
      <c r="AS540" s="69"/>
      <c r="AU540" s="3"/>
      <c r="AV540" s="69"/>
      <c r="AZ540" s="30"/>
    </row>
    <row r="541">
      <c r="C541" s="3"/>
      <c r="D541" s="69"/>
      <c r="H541" s="69"/>
      <c r="O541" s="49"/>
      <c r="P541" s="69"/>
      <c r="S541" s="69"/>
      <c r="X541" s="69"/>
      <c r="AF541" s="69"/>
      <c r="AK541" s="69"/>
      <c r="AM541" s="69"/>
      <c r="AS541" s="69"/>
      <c r="AU541" s="3"/>
      <c r="AV541" s="69"/>
      <c r="AZ541" s="30"/>
    </row>
    <row r="542">
      <c r="C542" s="3"/>
      <c r="D542" s="69"/>
      <c r="H542" s="69"/>
      <c r="O542" s="49"/>
      <c r="P542" s="69"/>
      <c r="S542" s="69"/>
      <c r="X542" s="69"/>
      <c r="AF542" s="69"/>
      <c r="AK542" s="69"/>
      <c r="AM542" s="69"/>
      <c r="AS542" s="69"/>
      <c r="AU542" s="3"/>
      <c r="AV542" s="69"/>
      <c r="AZ542" s="30"/>
    </row>
    <row r="543">
      <c r="C543" s="3"/>
      <c r="D543" s="69"/>
      <c r="H543" s="69"/>
      <c r="O543" s="49"/>
      <c r="P543" s="69"/>
      <c r="S543" s="69"/>
      <c r="X543" s="69"/>
      <c r="AF543" s="69"/>
      <c r="AK543" s="69"/>
      <c r="AM543" s="69"/>
      <c r="AS543" s="69"/>
      <c r="AU543" s="3"/>
      <c r="AV543" s="69"/>
      <c r="AZ543" s="30"/>
    </row>
    <row r="544">
      <c r="C544" s="3"/>
      <c r="D544" s="69"/>
      <c r="H544" s="69"/>
      <c r="O544" s="49"/>
      <c r="P544" s="69"/>
      <c r="S544" s="69"/>
      <c r="X544" s="69"/>
      <c r="AF544" s="69"/>
      <c r="AK544" s="69"/>
      <c r="AM544" s="69"/>
      <c r="AS544" s="69"/>
      <c r="AU544" s="3"/>
      <c r="AV544" s="69"/>
      <c r="AZ544" s="30"/>
    </row>
    <row r="545">
      <c r="C545" s="3"/>
      <c r="D545" s="69"/>
      <c r="H545" s="69"/>
      <c r="O545" s="49"/>
      <c r="P545" s="69"/>
      <c r="S545" s="69"/>
      <c r="X545" s="69"/>
      <c r="AF545" s="69"/>
      <c r="AK545" s="69"/>
      <c r="AM545" s="69"/>
      <c r="AS545" s="69"/>
      <c r="AU545" s="3"/>
      <c r="AV545" s="69"/>
      <c r="AZ545" s="30"/>
    </row>
    <row r="546">
      <c r="C546" s="3"/>
      <c r="D546" s="69"/>
      <c r="H546" s="69"/>
      <c r="O546" s="49"/>
      <c r="P546" s="69"/>
      <c r="S546" s="69"/>
      <c r="X546" s="69"/>
      <c r="AF546" s="69"/>
      <c r="AK546" s="69"/>
      <c r="AM546" s="69"/>
      <c r="AS546" s="69"/>
      <c r="AU546" s="3"/>
      <c r="AV546" s="69"/>
      <c r="AZ546" s="30"/>
    </row>
    <row r="547">
      <c r="C547" s="3"/>
      <c r="D547" s="69"/>
      <c r="H547" s="69"/>
      <c r="O547" s="49"/>
      <c r="P547" s="69"/>
      <c r="S547" s="69"/>
      <c r="X547" s="69"/>
      <c r="AF547" s="69"/>
      <c r="AK547" s="69"/>
      <c r="AM547" s="69"/>
      <c r="AS547" s="69"/>
      <c r="AU547" s="3"/>
      <c r="AV547" s="69"/>
      <c r="AZ547" s="30"/>
    </row>
    <row r="548">
      <c r="C548" s="3"/>
      <c r="D548" s="69"/>
      <c r="H548" s="69"/>
      <c r="O548" s="49"/>
      <c r="P548" s="69"/>
      <c r="S548" s="69"/>
      <c r="X548" s="69"/>
      <c r="AF548" s="69"/>
      <c r="AK548" s="69"/>
      <c r="AM548" s="69"/>
      <c r="AS548" s="69"/>
      <c r="AU548" s="3"/>
      <c r="AV548" s="69"/>
      <c r="AZ548" s="30"/>
    </row>
    <row r="549">
      <c r="C549" s="3"/>
      <c r="D549" s="69"/>
      <c r="H549" s="69"/>
      <c r="O549" s="49"/>
      <c r="P549" s="69"/>
      <c r="S549" s="69"/>
      <c r="X549" s="69"/>
      <c r="AF549" s="69"/>
      <c r="AK549" s="69"/>
      <c r="AM549" s="69"/>
      <c r="AS549" s="69"/>
      <c r="AU549" s="3"/>
      <c r="AV549" s="69"/>
      <c r="AZ549" s="30"/>
    </row>
    <row r="550">
      <c r="C550" s="3"/>
      <c r="D550" s="69"/>
      <c r="H550" s="69"/>
      <c r="O550" s="49"/>
      <c r="P550" s="69"/>
      <c r="S550" s="69"/>
      <c r="X550" s="69"/>
      <c r="AF550" s="69"/>
      <c r="AK550" s="69"/>
      <c r="AM550" s="69"/>
      <c r="AS550" s="69"/>
      <c r="AU550" s="3"/>
      <c r="AV550" s="69"/>
      <c r="AZ550" s="30"/>
    </row>
    <row r="551">
      <c r="C551" s="3"/>
      <c r="D551" s="69"/>
      <c r="H551" s="69"/>
      <c r="O551" s="49"/>
      <c r="P551" s="69"/>
      <c r="S551" s="69"/>
      <c r="X551" s="69"/>
      <c r="AF551" s="69"/>
      <c r="AK551" s="69"/>
      <c r="AM551" s="69"/>
      <c r="AS551" s="69"/>
      <c r="AU551" s="3"/>
      <c r="AV551" s="69"/>
      <c r="AZ551" s="30"/>
    </row>
    <row r="552">
      <c r="C552" s="3"/>
      <c r="D552" s="69"/>
      <c r="H552" s="69"/>
      <c r="O552" s="49"/>
      <c r="P552" s="69"/>
      <c r="S552" s="69"/>
      <c r="X552" s="69"/>
      <c r="AF552" s="69"/>
      <c r="AK552" s="69"/>
      <c r="AM552" s="69"/>
      <c r="AS552" s="69"/>
      <c r="AU552" s="3"/>
      <c r="AV552" s="69"/>
      <c r="AZ552" s="30"/>
    </row>
    <row r="553">
      <c r="C553" s="3"/>
      <c r="D553" s="69"/>
      <c r="H553" s="69"/>
      <c r="O553" s="49"/>
      <c r="P553" s="69"/>
      <c r="S553" s="69"/>
      <c r="X553" s="69"/>
      <c r="AF553" s="69"/>
      <c r="AK553" s="69"/>
      <c r="AM553" s="69"/>
      <c r="AS553" s="69"/>
      <c r="AU553" s="3"/>
      <c r="AV553" s="69"/>
      <c r="AZ553" s="30"/>
    </row>
    <row r="554">
      <c r="C554" s="3"/>
      <c r="D554" s="69"/>
      <c r="H554" s="69"/>
      <c r="O554" s="49"/>
      <c r="P554" s="69"/>
      <c r="S554" s="69"/>
      <c r="X554" s="69"/>
      <c r="AF554" s="69"/>
      <c r="AK554" s="69"/>
      <c r="AM554" s="69"/>
      <c r="AS554" s="69"/>
      <c r="AU554" s="3"/>
      <c r="AV554" s="69"/>
      <c r="AZ554" s="30"/>
    </row>
    <row r="555">
      <c r="C555" s="3"/>
      <c r="D555" s="69"/>
      <c r="H555" s="69"/>
      <c r="O555" s="49"/>
      <c r="P555" s="69"/>
      <c r="S555" s="69"/>
      <c r="X555" s="69"/>
      <c r="AF555" s="69"/>
      <c r="AK555" s="69"/>
      <c r="AM555" s="69"/>
      <c r="AS555" s="69"/>
      <c r="AU555" s="3"/>
      <c r="AV555" s="69"/>
      <c r="AZ555" s="30"/>
    </row>
    <row r="556">
      <c r="C556" s="3"/>
      <c r="D556" s="69"/>
      <c r="H556" s="69"/>
      <c r="O556" s="49"/>
      <c r="P556" s="69"/>
      <c r="S556" s="69"/>
      <c r="X556" s="69"/>
      <c r="AF556" s="69"/>
      <c r="AK556" s="69"/>
      <c r="AM556" s="69"/>
      <c r="AS556" s="69"/>
      <c r="AU556" s="3"/>
      <c r="AV556" s="69"/>
      <c r="AZ556" s="30"/>
    </row>
    <row r="557">
      <c r="C557" s="3"/>
      <c r="D557" s="69"/>
      <c r="H557" s="69"/>
      <c r="O557" s="49"/>
      <c r="P557" s="69"/>
      <c r="S557" s="69"/>
      <c r="X557" s="69"/>
      <c r="AF557" s="69"/>
      <c r="AK557" s="69"/>
      <c r="AM557" s="69"/>
      <c r="AS557" s="69"/>
      <c r="AU557" s="3"/>
      <c r="AV557" s="69"/>
      <c r="AZ557" s="30"/>
    </row>
    <row r="558">
      <c r="C558" s="3"/>
      <c r="D558" s="69"/>
      <c r="H558" s="69"/>
      <c r="O558" s="49"/>
      <c r="P558" s="69"/>
      <c r="S558" s="69"/>
      <c r="X558" s="69"/>
      <c r="AF558" s="69"/>
      <c r="AK558" s="69"/>
      <c r="AM558" s="69"/>
      <c r="AS558" s="69"/>
      <c r="AU558" s="3"/>
      <c r="AV558" s="69"/>
      <c r="AZ558" s="30"/>
    </row>
    <row r="559">
      <c r="C559" s="3"/>
      <c r="D559" s="69"/>
      <c r="H559" s="69"/>
      <c r="O559" s="49"/>
      <c r="P559" s="69"/>
      <c r="S559" s="69"/>
      <c r="X559" s="69"/>
      <c r="AF559" s="69"/>
      <c r="AK559" s="69"/>
      <c r="AM559" s="69"/>
      <c r="AS559" s="69"/>
      <c r="AU559" s="3"/>
      <c r="AV559" s="69"/>
      <c r="AZ559" s="30"/>
    </row>
    <row r="560">
      <c r="C560" s="3"/>
      <c r="D560" s="69"/>
      <c r="H560" s="69"/>
      <c r="O560" s="49"/>
      <c r="P560" s="69"/>
      <c r="S560" s="69"/>
      <c r="X560" s="69"/>
      <c r="AF560" s="69"/>
      <c r="AK560" s="69"/>
      <c r="AM560" s="69"/>
      <c r="AS560" s="69"/>
      <c r="AU560" s="3"/>
      <c r="AV560" s="69"/>
      <c r="AZ560" s="30"/>
    </row>
    <row r="561">
      <c r="C561" s="3"/>
      <c r="D561" s="69"/>
      <c r="H561" s="69"/>
      <c r="O561" s="49"/>
      <c r="P561" s="69"/>
      <c r="S561" s="69"/>
      <c r="X561" s="69"/>
      <c r="AF561" s="69"/>
      <c r="AK561" s="69"/>
      <c r="AM561" s="69"/>
      <c r="AS561" s="69"/>
      <c r="AU561" s="3"/>
      <c r="AV561" s="69"/>
      <c r="AZ561" s="30"/>
    </row>
    <row r="562">
      <c r="C562" s="3"/>
      <c r="D562" s="69"/>
      <c r="H562" s="69"/>
      <c r="O562" s="49"/>
      <c r="P562" s="69"/>
      <c r="S562" s="69"/>
      <c r="X562" s="69"/>
      <c r="AF562" s="69"/>
      <c r="AK562" s="69"/>
      <c r="AM562" s="69"/>
      <c r="AS562" s="69"/>
      <c r="AU562" s="3"/>
      <c r="AV562" s="69"/>
      <c r="AZ562" s="30"/>
    </row>
    <row r="563">
      <c r="C563" s="3"/>
      <c r="D563" s="69"/>
      <c r="H563" s="69"/>
      <c r="O563" s="49"/>
      <c r="P563" s="69"/>
      <c r="S563" s="69"/>
      <c r="X563" s="69"/>
      <c r="AF563" s="69"/>
      <c r="AK563" s="69"/>
      <c r="AM563" s="69"/>
      <c r="AS563" s="69"/>
      <c r="AU563" s="3"/>
      <c r="AV563" s="69"/>
      <c r="AZ563" s="30"/>
    </row>
    <row r="564">
      <c r="C564" s="3"/>
      <c r="D564" s="69"/>
      <c r="H564" s="69"/>
      <c r="O564" s="49"/>
      <c r="P564" s="69"/>
      <c r="S564" s="69"/>
      <c r="X564" s="69"/>
      <c r="AF564" s="69"/>
      <c r="AK564" s="69"/>
      <c r="AM564" s="69"/>
      <c r="AS564" s="69"/>
      <c r="AU564" s="3"/>
      <c r="AV564" s="69"/>
      <c r="AZ564" s="30"/>
    </row>
    <row r="565">
      <c r="C565" s="3"/>
      <c r="D565" s="69"/>
      <c r="H565" s="69"/>
      <c r="O565" s="49"/>
      <c r="P565" s="69"/>
      <c r="S565" s="69"/>
      <c r="X565" s="69"/>
      <c r="AF565" s="69"/>
      <c r="AK565" s="69"/>
      <c r="AM565" s="69"/>
      <c r="AS565" s="69"/>
      <c r="AU565" s="3"/>
      <c r="AV565" s="69"/>
      <c r="AZ565" s="30"/>
    </row>
    <row r="566">
      <c r="C566" s="3"/>
      <c r="D566" s="69"/>
      <c r="H566" s="69"/>
      <c r="O566" s="49"/>
      <c r="P566" s="69"/>
      <c r="S566" s="69"/>
      <c r="X566" s="69"/>
      <c r="AF566" s="69"/>
      <c r="AK566" s="69"/>
      <c r="AM566" s="69"/>
      <c r="AS566" s="69"/>
      <c r="AU566" s="3"/>
      <c r="AV566" s="69"/>
      <c r="AZ566" s="30"/>
    </row>
    <row r="567">
      <c r="C567" s="3"/>
      <c r="D567" s="69"/>
      <c r="H567" s="69"/>
      <c r="O567" s="49"/>
      <c r="P567" s="69"/>
      <c r="S567" s="69"/>
      <c r="X567" s="69"/>
      <c r="AF567" s="69"/>
      <c r="AK567" s="69"/>
      <c r="AM567" s="69"/>
      <c r="AS567" s="69"/>
      <c r="AU567" s="3"/>
      <c r="AV567" s="69"/>
      <c r="AZ567" s="30"/>
    </row>
    <row r="568">
      <c r="C568" s="3"/>
      <c r="D568" s="69"/>
      <c r="H568" s="69"/>
      <c r="O568" s="49"/>
      <c r="P568" s="69"/>
      <c r="S568" s="69"/>
      <c r="X568" s="69"/>
      <c r="AF568" s="69"/>
      <c r="AK568" s="69"/>
      <c r="AM568" s="69"/>
      <c r="AS568" s="69"/>
      <c r="AU568" s="3"/>
      <c r="AV568" s="69"/>
      <c r="AZ568" s="30"/>
    </row>
    <row r="569">
      <c r="C569" s="3"/>
      <c r="D569" s="69"/>
      <c r="H569" s="69"/>
      <c r="O569" s="49"/>
      <c r="P569" s="69"/>
      <c r="S569" s="69"/>
      <c r="X569" s="69"/>
      <c r="AF569" s="69"/>
      <c r="AK569" s="69"/>
      <c r="AM569" s="69"/>
      <c r="AS569" s="69"/>
      <c r="AU569" s="3"/>
      <c r="AV569" s="69"/>
      <c r="AZ569" s="30"/>
    </row>
    <row r="570">
      <c r="C570" s="3"/>
      <c r="D570" s="69"/>
      <c r="H570" s="69"/>
      <c r="O570" s="49"/>
      <c r="P570" s="69"/>
      <c r="S570" s="69"/>
      <c r="X570" s="69"/>
      <c r="AF570" s="69"/>
      <c r="AK570" s="69"/>
      <c r="AM570" s="69"/>
      <c r="AS570" s="69"/>
      <c r="AU570" s="3"/>
      <c r="AV570" s="69"/>
      <c r="AZ570" s="30"/>
    </row>
    <row r="571">
      <c r="C571" s="3"/>
      <c r="D571" s="69"/>
      <c r="H571" s="69"/>
      <c r="O571" s="49"/>
      <c r="P571" s="69"/>
      <c r="S571" s="69"/>
      <c r="X571" s="69"/>
      <c r="AF571" s="69"/>
      <c r="AK571" s="69"/>
      <c r="AM571" s="69"/>
      <c r="AS571" s="69"/>
      <c r="AU571" s="3"/>
      <c r="AV571" s="69"/>
      <c r="AZ571" s="30"/>
    </row>
    <row r="572">
      <c r="C572" s="3"/>
      <c r="D572" s="69"/>
      <c r="H572" s="69"/>
      <c r="O572" s="49"/>
      <c r="P572" s="69"/>
      <c r="S572" s="69"/>
      <c r="X572" s="69"/>
      <c r="AF572" s="69"/>
      <c r="AK572" s="69"/>
      <c r="AM572" s="69"/>
      <c r="AS572" s="69"/>
      <c r="AU572" s="3"/>
      <c r="AV572" s="69"/>
      <c r="AZ572" s="30"/>
    </row>
    <row r="573">
      <c r="C573" s="3"/>
      <c r="D573" s="69"/>
      <c r="H573" s="69"/>
      <c r="O573" s="49"/>
      <c r="P573" s="69"/>
      <c r="S573" s="69"/>
      <c r="X573" s="69"/>
      <c r="AF573" s="69"/>
      <c r="AK573" s="69"/>
      <c r="AM573" s="69"/>
      <c r="AS573" s="69"/>
      <c r="AU573" s="3"/>
      <c r="AV573" s="69"/>
      <c r="AZ573" s="30"/>
    </row>
    <row r="574">
      <c r="C574" s="3"/>
      <c r="D574" s="69"/>
      <c r="H574" s="69"/>
      <c r="O574" s="49"/>
      <c r="P574" s="69"/>
      <c r="S574" s="69"/>
      <c r="X574" s="69"/>
      <c r="AF574" s="69"/>
      <c r="AK574" s="69"/>
      <c r="AM574" s="69"/>
      <c r="AS574" s="69"/>
      <c r="AU574" s="3"/>
      <c r="AV574" s="69"/>
      <c r="AZ574" s="30"/>
    </row>
    <row r="575">
      <c r="C575" s="3"/>
      <c r="D575" s="69"/>
      <c r="H575" s="69"/>
      <c r="O575" s="49"/>
      <c r="P575" s="69"/>
      <c r="S575" s="69"/>
      <c r="X575" s="69"/>
      <c r="AF575" s="69"/>
      <c r="AK575" s="69"/>
      <c r="AM575" s="69"/>
      <c r="AS575" s="69"/>
      <c r="AU575" s="3"/>
      <c r="AV575" s="69"/>
      <c r="AZ575" s="30"/>
    </row>
    <row r="576">
      <c r="C576" s="3"/>
      <c r="D576" s="69"/>
      <c r="H576" s="69"/>
      <c r="O576" s="49"/>
      <c r="P576" s="69"/>
      <c r="S576" s="69"/>
      <c r="X576" s="69"/>
      <c r="AF576" s="69"/>
      <c r="AK576" s="69"/>
      <c r="AM576" s="69"/>
      <c r="AS576" s="69"/>
      <c r="AU576" s="3"/>
      <c r="AV576" s="69"/>
      <c r="AZ576" s="30"/>
    </row>
    <row r="577">
      <c r="C577" s="3"/>
      <c r="D577" s="69"/>
      <c r="H577" s="69"/>
      <c r="O577" s="49"/>
      <c r="P577" s="69"/>
      <c r="S577" s="69"/>
      <c r="X577" s="69"/>
      <c r="AF577" s="69"/>
      <c r="AK577" s="69"/>
      <c r="AM577" s="69"/>
      <c r="AS577" s="69"/>
      <c r="AU577" s="3"/>
      <c r="AV577" s="69"/>
      <c r="AZ577" s="30"/>
    </row>
    <row r="578">
      <c r="C578" s="3"/>
      <c r="D578" s="69"/>
      <c r="H578" s="69"/>
      <c r="O578" s="49"/>
      <c r="P578" s="69"/>
      <c r="S578" s="69"/>
      <c r="X578" s="69"/>
      <c r="AF578" s="69"/>
      <c r="AK578" s="69"/>
      <c r="AM578" s="69"/>
      <c r="AS578" s="69"/>
      <c r="AU578" s="3"/>
      <c r="AV578" s="69"/>
      <c r="AZ578" s="30"/>
    </row>
    <row r="579">
      <c r="C579" s="3"/>
      <c r="D579" s="69"/>
      <c r="H579" s="69"/>
      <c r="O579" s="49"/>
      <c r="P579" s="69"/>
      <c r="S579" s="69"/>
      <c r="X579" s="69"/>
      <c r="AF579" s="69"/>
      <c r="AK579" s="69"/>
      <c r="AM579" s="69"/>
      <c r="AS579" s="69"/>
      <c r="AU579" s="3"/>
      <c r="AV579" s="69"/>
      <c r="AZ579" s="30"/>
    </row>
    <row r="580">
      <c r="C580" s="3"/>
      <c r="D580" s="69"/>
      <c r="H580" s="69"/>
      <c r="O580" s="49"/>
      <c r="P580" s="69"/>
      <c r="S580" s="69"/>
      <c r="X580" s="69"/>
      <c r="AF580" s="69"/>
      <c r="AK580" s="69"/>
      <c r="AM580" s="69"/>
      <c r="AS580" s="69"/>
      <c r="AU580" s="3"/>
      <c r="AV580" s="69"/>
      <c r="AZ580" s="30"/>
    </row>
    <row r="581">
      <c r="C581" s="3"/>
      <c r="D581" s="69"/>
      <c r="H581" s="69"/>
      <c r="O581" s="49"/>
      <c r="P581" s="69"/>
      <c r="S581" s="69"/>
      <c r="X581" s="69"/>
      <c r="AF581" s="69"/>
      <c r="AK581" s="69"/>
      <c r="AM581" s="69"/>
      <c r="AS581" s="69"/>
      <c r="AU581" s="3"/>
      <c r="AV581" s="69"/>
      <c r="AZ581" s="30"/>
    </row>
    <row r="582">
      <c r="C582" s="3"/>
      <c r="D582" s="69"/>
      <c r="H582" s="69"/>
      <c r="O582" s="49"/>
      <c r="P582" s="69"/>
      <c r="S582" s="69"/>
      <c r="X582" s="69"/>
      <c r="AF582" s="69"/>
      <c r="AK582" s="69"/>
      <c r="AM582" s="69"/>
      <c r="AS582" s="69"/>
      <c r="AU582" s="3"/>
      <c r="AV582" s="69"/>
      <c r="AZ582" s="30"/>
    </row>
    <row r="583">
      <c r="C583" s="3"/>
      <c r="D583" s="69"/>
      <c r="H583" s="69"/>
      <c r="O583" s="49"/>
      <c r="P583" s="69"/>
      <c r="S583" s="69"/>
      <c r="X583" s="69"/>
      <c r="AF583" s="69"/>
      <c r="AK583" s="69"/>
      <c r="AM583" s="69"/>
      <c r="AS583" s="69"/>
      <c r="AU583" s="3"/>
      <c r="AV583" s="69"/>
      <c r="AZ583" s="30"/>
    </row>
    <row r="584">
      <c r="C584" s="3"/>
      <c r="D584" s="69"/>
      <c r="H584" s="69"/>
      <c r="O584" s="49"/>
      <c r="P584" s="69"/>
      <c r="S584" s="69"/>
      <c r="X584" s="69"/>
      <c r="AF584" s="69"/>
      <c r="AK584" s="69"/>
      <c r="AM584" s="69"/>
      <c r="AS584" s="69"/>
      <c r="AU584" s="3"/>
      <c r="AV584" s="69"/>
      <c r="AZ584" s="30"/>
    </row>
    <row r="585">
      <c r="C585" s="3"/>
      <c r="D585" s="69"/>
      <c r="H585" s="69"/>
      <c r="O585" s="49"/>
      <c r="P585" s="69"/>
      <c r="S585" s="69"/>
      <c r="X585" s="69"/>
      <c r="AF585" s="69"/>
      <c r="AK585" s="69"/>
      <c r="AM585" s="69"/>
      <c r="AS585" s="69"/>
      <c r="AU585" s="3"/>
      <c r="AV585" s="69"/>
      <c r="AZ585" s="30"/>
    </row>
    <row r="586">
      <c r="C586" s="3"/>
      <c r="D586" s="69"/>
      <c r="H586" s="69"/>
      <c r="O586" s="49"/>
      <c r="P586" s="69"/>
      <c r="S586" s="69"/>
      <c r="X586" s="69"/>
      <c r="AF586" s="69"/>
      <c r="AK586" s="69"/>
      <c r="AM586" s="69"/>
      <c r="AS586" s="69"/>
      <c r="AU586" s="3"/>
      <c r="AV586" s="69"/>
      <c r="AZ586" s="30"/>
    </row>
    <row r="587">
      <c r="C587" s="3"/>
      <c r="D587" s="69"/>
      <c r="H587" s="69"/>
      <c r="O587" s="49"/>
      <c r="P587" s="69"/>
      <c r="S587" s="69"/>
      <c r="X587" s="69"/>
      <c r="AF587" s="69"/>
      <c r="AK587" s="69"/>
      <c r="AM587" s="69"/>
      <c r="AS587" s="69"/>
      <c r="AU587" s="3"/>
      <c r="AV587" s="69"/>
      <c r="AZ587" s="30"/>
    </row>
    <row r="588">
      <c r="C588" s="3"/>
      <c r="D588" s="69"/>
      <c r="H588" s="69"/>
      <c r="O588" s="49"/>
      <c r="P588" s="69"/>
      <c r="S588" s="69"/>
      <c r="X588" s="69"/>
      <c r="AF588" s="69"/>
      <c r="AK588" s="69"/>
      <c r="AM588" s="69"/>
      <c r="AS588" s="69"/>
      <c r="AU588" s="3"/>
      <c r="AV588" s="69"/>
      <c r="AZ588" s="30"/>
    </row>
    <row r="589">
      <c r="C589" s="3"/>
      <c r="D589" s="69"/>
      <c r="H589" s="69"/>
      <c r="O589" s="49"/>
      <c r="P589" s="69"/>
      <c r="S589" s="69"/>
      <c r="X589" s="69"/>
      <c r="AF589" s="69"/>
      <c r="AK589" s="69"/>
      <c r="AM589" s="69"/>
      <c r="AS589" s="69"/>
      <c r="AU589" s="3"/>
      <c r="AV589" s="69"/>
      <c r="AZ589" s="30"/>
    </row>
    <row r="590">
      <c r="C590" s="3"/>
      <c r="D590" s="69"/>
      <c r="H590" s="69"/>
      <c r="O590" s="49"/>
      <c r="P590" s="69"/>
      <c r="S590" s="69"/>
      <c r="X590" s="69"/>
      <c r="AF590" s="69"/>
      <c r="AK590" s="69"/>
      <c r="AM590" s="69"/>
      <c r="AS590" s="69"/>
      <c r="AU590" s="3"/>
      <c r="AV590" s="69"/>
      <c r="AZ590" s="30"/>
    </row>
    <row r="591">
      <c r="C591" s="3"/>
      <c r="D591" s="69"/>
      <c r="H591" s="69"/>
      <c r="O591" s="49"/>
      <c r="P591" s="69"/>
      <c r="S591" s="69"/>
      <c r="X591" s="69"/>
      <c r="AF591" s="69"/>
      <c r="AK591" s="69"/>
      <c r="AM591" s="69"/>
      <c r="AS591" s="69"/>
      <c r="AU591" s="3"/>
      <c r="AV591" s="69"/>
      <c r="AZ591" s="30"/>
    </row>
    <row r="592">
      <c r="C592" s="3"/>
      <c r="D592" s="69"/>
      <c r="H592" s="69"/>
      <c r="O592" s="49"/>
      <c r="P592" s="69"/>
      <c r="S592" s="69"/>
      <c r="X592" s="69"/>
      <c r="AF592" s="69"/>
      <c r="AK592" s="69"/>
      <c r="AM592" s="69"/>
      <c r="AS592" s="69"/>
      <c r="AU592" s="3"/>
      <c r="AV592" s="69"/>
      <c r="AZ592" s="30"/>
    </row>
    <row r="593">
      <c r="C593" s="3"/>
      <c r="D593" s="69"/>
      <c r="H593" s="69"/>
      <c r="O593" s="49"/>
      <c r="P593" s="69"/>
      <c r="S593" s="69"/>
      <c r="X593" s="69"/>
      <c r="AF593" s="69"/>
      <c r="AK593" s="69"/>
      <c r="AM593" s="69"/>
      <c r="AS593" s="69"/>
      <c r="AU593" s="3"/>
      <c r="AV593" s="69"/>
      <c r="AZ593" s="30"/>
    </row>
    <row r="594">
      <c r="C594" s="3"/>
      <c r="D594" s="69"/>
      <c r="H594" s="69"/>
      <c r="O594" s="49"/>
      <c r="P594" s="69"/>
      <c r="S594" s="69"/>
      <c r="X594" s="69"/>
      <c r="AF594" s="69"/>
      <c r="AK594" s="69"/>
      <c r="AM594" s="69"/>
      <c r="AS594" s="69"/>
      <c r="AU594" s="3"/>
      <c r="AV594" s="69"/>
      <c r="AZ594" s="30"/>
    </row>
    <row r="595">
      <c r="C595" s="3"/>
      <c r="D595" s="69"/>
      <c r="H595" s="69"/>
      <c r="O595" s="49"/>
      <c r="P595" s="69"/>
      <c r="S595" s="69"/>
      <c r="X595" s="69"/>
      <c r="AF595" s="69"/>
      <c r="AK595" s="69"/>
      <c r="AM595" s="69"/>
      <c r="AS595" s="69"/>
      <c r="AU595" s="3"/>
      <c r="AV595" s="69"/>
      <c r="AZ595" s="30"/>
    </row>
    <row r="596">
      <c r="C596" s="3"/>
      <c r="D596" s="69"/>
      <c r="H596" s="69"/>
      <c r="O596" s="49"/>
      <c r="P596" s="69"/>
      <c r="S596" s="69"/>
      <c r="X596" s="69"/>
      <c r="AF596" s="69"/>
      <c r="AK596" s="69"/>
      <c r="AM596" s="69"/>
      <c r="AS596" s="69"/>
      <c r="AU596" s="3"/>
      <c r="AV596" s="69"/>
      <c r="AZ596" s="30"/>
    </row>
    <row r="597">
      <c r="C597" s="3"/>
      <c r="D597" s="69"/>
      <c r="H597" s="69"/>
      <c r="O597" s="49"/>
      <c r="P597" s="69"/>
      <c r="S597" s="69"/>
      <c r="X597" s="69"/>
      <c r="AF597" s="69"/>
      <c r="AK597" s="69"/>
      <c r="AM597" s="69"/>
      <c r="AS597" s="69"/>
      <c r="AU597" s="3"/>
      <c r="AV597" s="69"/>
      <c r="AZ597" s="30"/>
    </row>
    <row r="598">
      <c r="C598" s="3"/>
      <c r="D598" s="69"/>
      <c r="H598" s="69"/>
      <c r="O598" s="49"/>
      <c r="P598" s="69"/>
      <c r="S598" s="69"/>
      <c r="X598" s="69"/>
      <c r="AF598" s="69"/>
      <c r="AK598" s="69"/>
      <c r="AM598" s="69"/>
      <c r="AS598" s="69"/>
      <c r="AU598" s="3"/>
      <c r="AV598" s="69"/>
      <c r="AZ598" s="30"/>
    </row>
    <row r="599">
      <c r="C599" s="3"/>
      <c r="D599" s="69"/>
      <c r="H599" s="69"/>
      <c r="O599" s="49"/>
      <c r="P599" s="69"/>
      <c r="S599" s="69"/>
      <c r="X599" s="69"/>
      <c r="AF599" s="69"/>
      <c r="AK599" s="69"/>
      <c r="AM599" s="69"/>
      <c r="AS599" s="69"/>
      <c r="AU599" s="3"/>
      <c r="AV599" s="69"/>
      <c r="AZ599" s="30"/>
    </row>
    <row r="600">
      <c r="C600" s="3"/>
      <c r="D600" s="69"/>
      <c r="H600" s="69"/>
      <c r="O600" s="49"/>
      <c r="P600" s="69"/>
      <c r="S600" s="69"/>
      <c r="X600" s="69"/>
      <c r="AF600" s="69"/>
      <c r="AK600" s="69"/>
      <c r="AM600" s="69"/>
      <c r="AS600" s="69"/>
      <c r="AU600" s="3"/>
      <c r="AV600" s="69"/>
      <c r="AZ600" s="30"/>
    </row>
    <row r="601">
      <c r="C601" s="3"/>
      <c r="D601" s="69"/>
      <c r="H601" s="69"/>
      <c r="O601" s="49"/>
      <c r="P601" s="69"/>
      <c r="S601" s="69"/>
      <c r="X601" s="69"/>
      <c r="AF601" s="69"/>
      <c r="AK601" s="69"/>
      <c r="AM601" s="69"/>
      <c r="AS601" s="69"/>
      <c r="AU601" s="3"/>
      <c r="AV601" s="69"/>
      <c r="AZ601" s="30"/>
    </row>
    <row r="602">
      <c r="C602" s="3"/>
      <c r="D602" s="69"/>
      <c r="H602" s="69"/>
      <c r="O602" s="49"/>
      <c r="P602" s="69"/>
      <c r="S602" s="69"/>
      <c r="X602" s="69"/>
      <c r="AF602" s="69"/>
      <c r="AK602" s="69"/>
      <c r="AM602" s="69"/>
      <c r="AS602" s="69"/>
      <c r="AU602" s="3"/>
      <c r="AV602" s="69"/>
      <c r="AZ602" s="30"/>
    </row>
    <row r="603">
      <c r="C603" s="3"/>
      <c r="D603" s="69"/>
      <c r="H603" s="69"/>
      <c r="O603" s="49"/>
      <c r="P603" s="69"/>
      <c r="S603" s="69"/>
      <c r="X603" s="69"/>
      <c r="AF603" s="69"/>
      <c r="AK603" s="69"/>
      <c r="AM603" s="69"/>
      <c r="AS603" s="69"/>
      <c r="AU603" s="3"/>
      <c r="AV603" s="69"/>
      <c r="AZ603" s="30"/>
    </row>
    <row r="604">
      <c r="C604" s="3"/>
      <c r="D604" s="69"/>
      <c r="H604" s="69"/>
      <c r="O604" s="49"/>
      <c r="P604" s="69"/>
      <c r="S604" s="69"/>
      <c r="X604" s="69"/>
      <c r="AF604" s="69"/>
      <c r="AK604" s="69"/>
      <c r="AM604" s="69"/>
      <c r="AS604" s="69"/>
      <c r="AU604" s="3"/>
      <c r="AV604" s="69"/>
      <c r="AZ604" s="30"/>
    </row>
    <row r="605">
      <c r="C605" s="3"/>
      <c r="D605" s="69"/>
      <c r="H605" s="69"/>
      <c r="O605" s="49"/>
      <c r="P605" s="69"/>
      <c r="S605" s="69"/>
      <c r="X605" s="69"/>
      <c r="AF605" s="69"/>
      <c r="AK605" s="69"/>
      <c r="AM605" s="69"/>
      <c r="AS605" s="69"/>
      <c r="AU605" s="3"/>
      <c r="AV605" s="69"/>
      <c r="AZ605" s="30"/>
    </row>
    <row r="606">
      <c r="C606" s="3"/>
      <c r="D606" s="69"/>
      <c r="H606" s="69"/>
      <c r="O606" s="49"/>
      <c r="P606" s="69"/>
      <c r="S606" s="69"/>
      <c r="X606" s="69"/>
      <c r="AF606" s="69"/>
      <c r="AK606" s="69"/>
      <c r="AM606" s="69"/>
      <c r="AS606" s="69"/>
      <c r="AU606" s="3"/>
      <c r="AV606" s="69"/>
      <c r="AZ606" s="30"/>
    </row>
    <row r="607">
      <c r="C607" s="3"/>
      <c r="D607" s="69"/>
      <c r="H607" s="69"/>
      <c r="O607" s="49"/>
      <c r="P607" s="69"/>
      <c r="S607" s="69"/>
      <c r="X607" s="69"/>
      <c r="AF607" s="69"/>
      <c r="AK607" s="69"/>
      <c r="AM607" s="69"/>
      <c r="AS607" s="69"/>
      <c r="AU607" s="3"/>
      <c r="AV607" s="69"/>
      <c r="AZ607" s="30"/>
    </row>
    <row r="608">
      <c r="C608" s="3"/>
      <c r="D608" s="69"/>
      <c r="H608" s="69"/>
      <c r="O608" s="49"/>
      <c r="P608" s="69"/>
      <c r="S608" s="69"/>
      <c r="X608" s="69"/>
      <c r="AF608" s="69"/>
      <c r="AK608" s="69"/>
      <c r="AM608" s="69"/>
      <c r="AS608" s="69"/>
      <c r="AU608" s="3"/>
      <c r="AV608" s="69"/>
      <c r="AZ608" s="30"/>
    </row>
    <row r="609">
      <c r="C609" s="3"/>
      <c r="D609" s="69"/>
      <c r="H609" s="69"/>
      <c r="O609" s="49"/>
      <c r="P609" s="69"/>
      <c r="S609" s="69"/>
      <c r="X609" s="69"/>
      <c r="AF609" s="69"/>
      <c r="AK609" s="69"/>
      <c r="AM609" s="69"/>
      <c r="AS609" s="69"/>
      <c r="AU609" s="3"/>
      <c r="AV609" s="69"/>
      <c r="AZ609" s="30"/>
    </row>
    <row r="610">
      <c r="C610" s="3"/>
      <c r="D610" s="69"/>
      <c r="H610" s="69"/>
      <c r="O610" s="49"/>
      <c r="P610" s="69"/>
      <c r="S610" s="69"/>
      <c r="X610" s="69"/>
      <c r="AF610" s="69"/>
      <c r="AK610" s="69"/>
      <c r="AM610" s="69"/>
      <c r="AS610" s="69"/>
      <c r="AU610" s="3"/>
      <c r="AV610" s="69"/>
      <c r="AZ610" s="30"/>
    </row>
    <row r="611">
      <c r="C611" s="3"/>
      <c r="D611" s="69"/>
      <c r="H611" s="69"/>
      <c r="O611" s="49"/>
      <c r="P611" s="69"/>
      <c r="S611" s="69"/>
      <c r="X611" s="69"/>
      <c r="AF611" s="69"/>
      <c r="AK611" s="69"/>
      <c r="AM611" s="69"/>
      <c r="AS611" s="69"/>
      <c r="AU611" s="3"/>
      <c r="AV611" s="69"/>
      <c r="AZ611" s="30"/>
    </row>
    <row r="612">
      <c r="C612" s="3"/>
      <c r="D612" s="69"/>
      <c r="H612" s="69"/>
      <c r="O612" s="49"/>
      <c r="P612" s="69"/>
      <c r="S612" s="69"/>
      <c r="X612" s="69"/>
      <c r="AF612" s="69"/>
      <c r="AK612" s="69"/>
      <c r="AM612" s="69"/>
      <c r="AS612" s="69"/>
      <c r="AU612" s="3"/>
      <c r="AV612" s="69"/>
      <c r="AZ612" s="30"/>
    </row>
    <row r="613">
      <c r="C613" s="3"/>
      <c r="D613" s="69"/>
      <c r="H613" s="69"/>
      <c r="O613" s="49"/>
      <c r="P613" s="69"/>
      <c r="S613" s="69"/>
      <c r="X613" s="69"/>
      <c r="AF613" s="69"/>
      <c r="AK613" s="69"/>
      <c r="AM613" s="69"/>
      <c r="AS613" s="69"/>
      <c r="AU613" s="3"/>
      <c r="AV613" s="69"/>
      <c r="AZ613" s="30"/>
    </row>
    <row r="614">
      <c r="C614" s="3"/>
      <c r="D614" s="69"/>
      <c r="H614" s="69"/>
      <c r="O614" s="49"/>
      <c r="P614" s="69"/>
      <c r="S614" s="69"/>
      <c r="X614" s="69"/>
      <c r="AF614" s="69"/>
      <c r="AK614" s="69"/>
      <c r="AM614" s="69"/>
      <c r="AS614" s="69"/>
      <c r="AU614" s="3"/>
      <c r="AV614" s="69"/>
      <c r="AZ614" s="30"/>
    </row>
    <row r="615">
      <c r="C615" s="3"/>
      <c r="D615" s="69"/>
      <c r="H615" s="69"/>
      <c r="O615" s="49"/>
      <c r="P615" s="69"/>
      <c r="S615" s="69"/>
      <c r="X615" s="69"/>
      <c r="AF615" s="69"/>
      <c r="AK615" s="69"/>
      <c r="AM615" s="69"/>
      <c r="AS615" s="69"/>
      <c r="AU615" s="3"/>
      <c r="AV615" s="69"/>
      <c r="AZ615" s="30"/>
    </row>
    <row r="616">
      <c r="C616" s="3"/>
      <c r="D616" s="69"/>
      <c r="H616" s="69"/>
      <c r="O616" s="49"/>
      <c r="P616" s="69"/>
      <c r="S616" s="69"/>
      <c r="X616" s="69"/>
      <c r="AF616" s="69"/>
      <c r="AK616" s="69"/>
      <c r="AM616" s="69"/>
      <c r="AS616" s="69"/>
      <c r="AU616" s="3"/>
      <c r="AV616" s="69"/>
      <c r="AZ616" s="30"/>
    </row>
    <row r="617">
      <c r="C617" s="3"/>
      <c r="D617" s="69"/>
      <c r="H617" s="69"/>
      <c r="O617" s="49"/>
      <c r="P617" s="69"/>
      <c r="S617" s="69"/>
      <c r="X617" s="69"/>
      <c r="AF617" s="69"/>
      <c r="AK617" s="69"/>
      <c r="AM617" s="69"/>
      <c r="AS617" s="69"/>
      <c r="AU617" s="3"/>
      <c r="AV617" s="69"/>
      <c r="AZ617" s="30"/>
    </row>
    <row r="618">
      <c r="C618" s="3"/>
      <c r="D618" s="69"/>
      <c r="H618" s="69"/>
      <c r="O618" s="49"/>
      <c r="P618" s="69"/>
      <c r="S618" s="69"/>
      <c r="X618" s="69"/>
      <c r="AF618" s="69"/>
      <c r="AK618" s="69"/>
      <c r="AM618" s="69"/>
      <c r="AS618" s="69"/>
      <c r="AU618" s="3"/>
      <c r="AV618" s="69"/>
      <c r="AZ618" s="30"/>
    </row>
    <row r="619">
      <c r="C619" s="3"/>
      <c r="D619" s="69"/>
      <c r="H619" s="69"/>
      <c r="O619" s="49"/>
      <c r="P619" s="69"/>
      <c r="S619" s="69"/>
      <c r="X619" s="69"/>
      <c r="AF619" s="69"/>
      <c r="AK619" s="69"/>
      <c r="AM619" s="69"/>
      <c r="AS619" s="69"/>
      <c r="AU619" s="3"/>
      <c r="AV619" s="69"/>
      <c r="AZ619" s="30"/>
    </row>
    <row r="620">
      <c r="C620" s="3"/>
      <c r="D620" s="69"/>
      <c r="H620" s="69"/>
      <c r="O620" s="49"/>
      <c r="P620" s="69"/>
      <c r="S620" s="69"/>
      <c r="X620" s="69"/>
      <c r="AF620" s="69"/>
      <c r="AK620" s="69"/>
      <c r="AM620" s="69"/>
      <c r="AS620" s="69"/>
      <c r="AU620" s="3"/>
      <c r="AV620" s="69"/>
      <c r="AZ620" s="30"/>
    </row>
    <row r="621">
      <c r="C621" s="3"/>
      <c r="D621" s="69"/>
      <c r="H621" s="69"/>
      <c r="O621" s="49"/>
      <c r="P621" s="69"/>
      <c r="S621" s="69"/>
      <c r="X621" s="69"/>
      <c r="AF621" s="69"/>
      <c r="AK621" s="69"/>
      <c r="AM621" s="69"/>
      <c r="AS621" s="69"/>
      <c r="AU621" s="3"/>
      <c r="AV621" s="69"/>
      <c r="AZ621" s="30"/>
    </row>
    <row r="622">
      <c r="C622" s="3"/>
      <c r="D622" s="69"/>
      <c r="H622" s="69"/>
      <c r="O622" s="49"/>
      <c r="P622" s="69"/>
      <c r="S622" s="69"/>
      <c r="X622" s="69"/>
      <c r="AF622" s="69"/>
      <c r="AK622" s="69"/>
      <c r="AM622" s="69"/>
      <c r="AS622" s="69"/>
      <c r="AU622" s="3"/>
      <c r="AV622" s="69"/>
      <c r="AZ622" s="30"/>
    </row>
    <row r="623">
      <c r="C623" s="3"/>
      <c r="D623" s="69"/>
      <c r="H623" s="69"/>
      <c r="O623" s="49"/>
      <c r="P623" s="69"/>
      <c r="S623" s="69"/>
      <c r="X623" s="69"/>
      <c r="AF623" s="69"/>
      <c r="AK623" s="69"/>
      <c r="AM623" s="69"/>
      <c r="AS623" s="69"/>
      <c r="AU623" s="3"/>
      <c r="AV623" s="69"/>
      <c r="AZ623" s="30"/>
    </row>
    <row r="624">
      <c r="C624" s="3"/>
      <c r="D624" s="69"/>
      <c r="H624" s="69"/>
      <c r="O624" s="49"/>
      <c r="P624" s="69"/>
      <c r="S624" s="69"/>
      <c r="X624" s="69"/>
      <c r="AF624" s="69"/>
      <c r="AK624" s="69"/>
      <c r="AM624" s="69"/>
      <c r="AS624" s="69"/>
      <c r="AU624" s="3"/>
      <c r="AV624" s="69"/>
      <c r="AZ624" s="30"/>
    </row>
    <row r="625">
      <c r="C625" s="3"/>
      <c r="D625" s="69"/>
      <c r="H625" s="69"/>
      <c r="O625" s="49"/>
      <c r="P625" s="69"/>
      <c r="S625" s="69"/>
      <c r="X625" s="69"/>
      <c r="AF625" s="69"/>
      <c r="AK625" s="69"/>
      <c r="AM625" s="69"/>
      <c r="AS625" s="69"/>
      <c r="AU625" s="3"/>
      <c r="AV625" s="69"/>
      <c r="AZ625" s="30"/>
    </row>
    <row r="626">
      <c r="C626" s="3"/>
      <c r="D626" s="69"/>
      <c r="H626" s="69"/>
      <c r="O626" s="49"/>
      <c r="P626" s="69"/>
      <c r="S626" s="69"/>
      <c r="X626" s="69"/>
      <c r="AF626" s="69"/>
      <c r="AK626" s="69"/>
      <c r="AM626" s="69"/>
      <c r="AS626" s="69"/>
      <c r="AU626" s="3"/>
      <c r="AV626" s="69"/>
      <c r="AZ626" s="30"/>
    </row>
    <row r="627">
      <c r="C627" s="3"/>
      <c r="D627" s="69"/>
      <c r="H627" s="69"/>
      <c r="O627" s="49"/>
      <c r="P627" s="69"/>
      <c r="S627" s="69"/>
      <c r="X627" s="69"/>
      <c r="AF627" s="69"/>
      <c r="AK627" s="69"/>
      <c r="AM627" s="69"/>
      <c r="AS627" s="69"/>
      <c r="AU627" s="3"/>
      <c r="AV627" s="69"/>
      <c r="AZ627" s="30"/>
    </row>
    <row r="628">
      <c r="C628" s="3"/>
      <c r="D628" s="69"/>
      <c r="H628" s="69"/>
      <c r="O628" s="49"/>
      <c r="P628" s="69"/>
      <c r="S628" s="69"/>
      <c r="X628" s="69"/>
      <c r="AF628" s="69"/>
      <c r="AK628" s="69"/>
      <c r="AM628" s="69"/>
      <c r="AS628" s="69"/>
      <c r="AU628" s="3"/>
      <c r="AV628" s="69"/>
      <c r="AZ628" s="30"/>
    </row>
    <row r="629">
      <c r="C629" s="3"/>
      <c r="D629" s="69"/>
      <c r="H629" s="69"/>
      <c r="O629" s="49"/>
      <c r="P629" s="69"/>
      <c r="S629" s="69"/>
      <c r="X629" s="69"/>
      <c r="AF629" s="69"/>
      <c r="AK629" s="69"/>
      <c r="AM629" s="69"/>
      <c r="AS629" s="69"/>
      <c r="AU629" s="3"/>
      <c r="AV629" s="69"/>
      <c r="AZ629" s="30"/>
    </row>
    <row r="630">
      <c r="C630" s="3"/>
      <c r="D630" s="69"/>
      <c r="H630" s="69"/>
      <c r="O630" s="49"/>
      <c r="P630" s="69"/>
      <c r="S630" s="69"/>
      <c r="X630" s="69"/>
      <c r="AF630" s="69"/>
      <c r="AK630" s="69"/>
      <c r="AM630" s="69"/>
      <c r="AS630" s="69"/>
      <c r="AU630" s="3"/>
      <c r="AV630" s="69"/>
      <c r="AZ630" s="30"/>
    </row>
    <row r="631">
      <c r="C631" s="3"/>
      <c r="D631" s="69"/>
      <c r="H631" s="69"/>
      <c r="O631" s="49"/>
      <c r="P631" s="69"/>
      <c r="S631" s="69"/>
      <c r="X631" s="69"/>
      <c r="AF631" s="69"/>
      <c r="AK631" s="69"/>
      <c r="AM631" s="69"/>
      <c r="AS631" s="69"/>
      <c r="AU631" s="3"/>
      <c r="AV631" s="69"/>
      <c r="AZ631" s="30"/>
    </row>
    <row r="632">
      <c r="C632" s="3"/>
      <c r="D632" s="69"/>
      <c r="H632" s="69"/>
      <c r="O632" s="49"/>
      <c r="P632" s="69"/>
      <c r="S632" s="69"/>
      <c r="X632" s="69"/>
      <c r="AF632" s="69"/>
      <c r="AK632" s="69"/>
      <c r="AM632" s="69"/>
      <c r="AS632" s="69"/>
      <c r="AU632" s="3"/>
      <c r="AV632" s="69"/>
      <c r="AZ632" s="30"/>
    </row>
    <row r="633">
      <c r="C633" s="3"/>
      <c r="D633" s="69"/>
      <c r="H633" s="69"/>
      <c r="O633" s="49"/>
      <c r="P633" s="69"/>
      <c r="S633" s="69"/>
      <c r="X633" s="69"/>
      <c r="AF633" s="69"/>
      <c r="AK633" s="69"/>
      <c r="AM633" s="69"/>
      <c r="AS633" s="69"/>
      <c r="AU633" s="3"/>
      <c r="AV633" s="69"/>
      <c r="AZ633" s="30"/>
    </row>
    <row r="634">
      <c r="C634" s="3"/>
      <c r="D634" s="69"/>
      <c r="H634" s="69"/>
      <c r="O634" s="49"/>
      <c r="P634" s="69"/>
      <c r="S634" s="69"/>
      <c r="X634" s="69"/>
      <c r="AF634" s="69"/>
      <c r="AK634" s="69"/>
      <c r="AM634" s="69"/>
      <c r="AS634" s="69"/>
      <c r="AU634" s="3"/>
      <c r="AV634" s="69"/>
      <c r="AZ634" s="30"/>
    </row>
    <row r="635">
      <c r="C635" s="3"/>
      <c r="D635" s="69"/>
      <c r="H635" s="69"/>
      <c r="O635" s="49"/>
      <c r="P635" s="69"/>
      <c r="S635" s="69"/>
      <c r="X635" s="69"/>
      <c r="AF635" s="69"/>
      <c r="AK635" s="69"/>
      <c r="AM635" s="69"/>
      <c r="AS635" s="69"/>
      <c r="AU635" s="3"/>
      <c r="AV635" s="69"/>
      <c r="AZ635" s="30"/>
    </row>
    <row r="636">
      <c r="C636" s="3"/>
      <c r="D636" s="69"/>
      <c r="H636" s="69"/>
      <c r="O636" s="49"/>
      <c r="P636" s="69"/>
      <c r="S636" s="69"/>
      <c r="X636" s="69"/>
      <c r="AF636" s="69"/>
      <c r="AK636" s="69"/>
      <c r="AM636" s="69"/>
      <c r="AS636" s="69"/>
      <c r="AU636" s="3"/>
      <c r="AV636" s="69"/>
      <c r="AZ636" s="30"/>
    </row>
    <row r="637">
      <c r="C637" s="3"/>
      <c r="D637" s="69"/>
      <c r="H637" s="69"/>
      <c r="O637" s="49"/>
      <c r="P637" s="69"/>
      <c r="S637" s="69"/>
      <c r="X637" s="69"/>
      <c r="AF637" s="69"/>
      <c r="AK637" s="69"/>
      <c r="AM637" s="69"/>
      <c r="AS637" s="69"/>
      <c r="AU637" s="3"/>
      <c r="AV637" s="69"/>
      <c r="AZ637" s="30"/>
    </row>
    <row r="638">
      <c r="C638" s="3"/>
      <c r="D638" s="69"/>
      <c r="H638" s="69"/>
      <c r="O638" s="49"/>
      <c r="P638" s="69"/>
      <c r="S638" s="69"/>
      <c r="X638" s="69"/>
      <c r="AF638" s="69"/>
      <c r="AK638" s="69"/>
      <c r="AM638" s="69"/>
      <c r="AS638" s="69"/>
      <c r="AU638" s="3"/>
      <c r="AV638" s="69"/>
      <c r="AZ638" s="30"/>
    </row>
    <row r="639">
      <c r="C639" s="3"/>
      <c r="D639" s="69"/>
      <c r="H639" s="69"/>
      <c r="O639" s="49"/>
      <c r="P639" s="69"/>
      <c r="S639" s="69"/>
      <c r="X639" s="69"/>
      <c r="AF639" s="69"/>
      <c r="AK639" s="69"/>
      <c r="AM639" s="69"/>
      <c r="AS639" s="69"/>
      <c r="AU639" s="3"/>
      <c r="AV639" s="69"/>
      <c r="AZ639" s="30"/>
    </row>
    <row r="640">
      <c r="C640" s="3"/>
      <c r="D640" s="69"/>
      <c r="H640" s="69"/>
      <c r="O640" s="49"/>
      <c r="P640" s="69"/>
      <c r="S640" s="69"/>
      <c r="X640" s="69"/>
      <c r="AF640" s="69"/>
      <c r="AK640" s="69"/>
      <c r="AM640" s="69"/>
      <c r="AS640" s="69"/>
      <c r="AU640" s="3"/>
      <c r="AV640" s="69"/>
      <c r="AZ640" s="30"/>
    </row>
    <row r="641">
      <c r="C641" s="3"/>
      <c r="D641" s="69"/>
      <c r="H641" s="69"/>
      <c r="O641" s="49"/>
      <c r="P641" s="69"/>
      <c r="S641" s="69"/>
      <c r="X641" s="69"/>
      <c r="AF641" s="69"/>
      <c r="AK641" s="69"/>
      <c r="AM641" s="69"/>
      <c r="AS641" s="69"/>
      <c r="AU641" s="3"/>
      <c r="AV641" s="69"/>
      <c r="AZ641" s="30"/>
    </row>
    <row r="642">
      <c r="C642" s="3"/>
      <c r="D642" s="69"/>
      <c r="H642" s="69"/>
      <c r="O642" s="49"/>
      <c r="P642" s="69"/>
      <c r="S642" s="69"/>
      <c r="X642" s="69"/>
      <c r="AF642" s="69"/>
      <c r="AK642" s="69"/>
      <c r="AM642" s="69"/>
      <c r="AS642" s="69"/>
      <c r="AU642" s="3"/>
      <c r="AV642" s="69"/>
      <c r="AZ642" s="30"/>
    </row>
    <row r="643">
      <c r="C643" s="3"/>
      <c r="D643" s="69"/>
      <c r="H643" s="69"/>
      <c r="O643" s="49"/>
      <c r="P643" s="69"/>
      <c r="S643" s="69"/>
      <c r="X643" s="69"/>
      <c r="AF643" s="69"/>
      <c r="AK643" s="69"/>
      <c r="AM643" s="69"/>
      <c r="AS643" s="69"/>
      <c r="AU643" s="3"/>
      <c r="AV643" s="69"/>
      <c r="AZ643" s="30"/>
    </row>
    <row r="644">
      <c r="C644" s="3"/>
      <c r="D644" s="69"/>
      <c r="H644" s="69"/>
      <c r="O644" s="49"/>
      <c r="P644" s="69"/>
      <c r="S644" s="69"/>
      <c r="X644" s="69"/>
      <c r="AF644" s="69"/>
      <c r="AK644" s="69"/>
      <c r="AM644" s="69"/>
      <c r="AS644" s="69"/>
      <c r="AU644" s="3"/>
      <c r="AV644" s="69"/>
      <c r="AZ644" s="30"/>
    </row>
    <row r="645">
      <c r="C645" s="3"/>
      <c r="D645" s="69"/>
      <c r="H645" s="69"/>
      <c r="O645" s="49"/>
      <c r="P645" s="69"/>
      <c r="S645" s="69"/>
      <c r="X645" s="69"/>
      <c r="AF645" s="69"/>
      <c r="AK645" s="69"/>
      <c r="AM645" s="69"/>
      <c r="AS645" s="69"/>
      <c r="AU645" s="3"/>
      <c r="AV645" s="69"/>
      <c r="AZ645" s="30"/>
    </row>
    <row r="646">
      <c r="C646" s="3"/>
      <c r="D646" s="69"/>
      <c r="H646" s="69"/>
      <c r="O646" s="49"/>
      <c r="P646" s="69"/>
      <c r="S646" s="69"/>
      <c r="X646" s="69"/>
      <c r="AF646" s="69"/>
      <c r="AK646" s="69"/>
      <c r="AM646" s="69"/>
      <c r="AS646" s="69"/>
      <c r="AU646" s="3"/>
      <c r="AV646" s="69"/>
      <c r="AZ646" s="30"/>
    </row>
    <row r="647">
      <c r="C647" s="3"/>
      <c r="D647" s="69"/>
      <c r="H647" s="69"/>
      <c r="O647" s="49"/>
      <c r="P647" s="69"/>
      <c r="S647" s="69"/>
      <c r="X647" s="69"/>
      <c r="AF647" s="69"/>
      <c r="AK647" s="69"/>
      <c r="AM647" s="69"/>
      <c r="AS647" s="69"/>
      <c r="AU647" s="3"/>
      <c r="AV647" s="69"/>
      <c r="AZ647" s="30"/>
    </row>
    <row r="648">
      <c r="C648" s="3"/>
      <c r="D648" s="69"/>
      <c r="H648" s="69"/>
      <c r="O648" s="49"/>
      <c r="P648" s="69"/>
      <c r="S648" s="69"/>
      <c r="X648" s="69"/>
      <c r="AF648" s="69"/>
      <c r="AK648" s="69"/>
      <c r="AM648" s="69"/>
      <c r="AS648" s="69"/>
      <c r="AU648" s="3"/>
      <c r="AV648" s="69"/>
      <c r="AZ648" s="30"/>
    </row>
    <row r="649">
      <c r="C649" s="3"/>
      <c r="D649" s="69"/>
      <c r="H649" s="69"/>
      <c r="O649" s="49"/>
      <c r="P649" s="69"/>
      <c r="S649" s="69"/>
      <c r="X649" s="69"/>
      <c r="AF649" s="69"/>
      <c r="AK649" s="69"/>
      <c r="AM649" s="69"/>
      <c r="AS649" s="69"/>
      <c r="AU649" s="3"/>
      <c r="AV649" s="69"/>
      <c r="AZ649" s="30"/>
    </row>
    <row r="650">
      <c r="C650" s="3"/>
      <c r="D650" s="69"/>
      <c r="H650" s="69"/>
      <c r="O650" s="49"/>
      <c r="P650" s="69"/>
      <c r="S650" s="69"/>
      <c r="X650" s="69"/>
      <c r="AF650" s="69"/>
      <c r="AK650" s="69"/>
      <c r="AM650" s="69"/>
      <c r="AS650" s="69"/>
      <c r="AU650" s="3"/>
      <c r="AV650" s="69"/>
      <c r="AZ650" s="30"/>
    </row>
    <row r="651">
      <c r="C651" s="3"/>
      <c r="D651" s="69"/>
      <c r="H651" s="69"/>
      <c r="O651" s="49"/>
      <c r="P651" s="69"/>
      <c r="S651" s="69"/>
      <c r="X651" s="69"/>
      <c r="AF651" s="69"/>
      <c r="AK651" s="69"/>
      <c r="AM651" s="69"/>
      <c r="AS651" s="69"/>
      <c r="AU651" s="3"/>
      <c r="AV651" s="69"/>
      <c r="AZ651" s="30"/>
    </row>
    <row r="652">
      <c r="C652" s="3"/>
      <c r="D652" s="69"/>
      <c r="H652" s="69"/>
      <c r="O652" s="49"/>
      <c r="P652" s="69"/>
      <c r="S652" s="69"/>
      <c r="X652" s="69"/>
      <c r="AF652" s="69"/>
      <c r="AK652" s="69"/>
      <c r="AM652" s="69"/>
      <c r="AS652" s="69"/>
      <c r="AU652" s="3"/>
      <c r="AV652" s="69"/>
      <c r="AZ652" s="30"/>
    </row>
    <row r="653">
      <c r="C653" s="3"/>
      <c r="D653" s="69"/>
      <c r="H653" s="69"/>
      <c r="O653" s="49"/>
      <c r="P653" s="69"/>
      <c r="S653" s="69"/>
      <c r="X653" s="69"/>
      <c r="AF653" s="69"/>
      <c r="AK653" s="69"/>
      <c r="AM653" s="69"/>
      <c r="AS653" s="69"/>
      <c r="AU653" s="3"/>
      <c r="AV653" s="69"/>
      <c r="AZ653" s="30"/>
    </row>
    <row r="654">
      <c r="C654" s="3"/>
      <c r="D654" s="69"/>
      <c r="H654" s="69"/>
      <c r="O654" s="49"/>
      <c r="P654" s="69"/>
      <c r="S654" s="69"/>
      <c r="X654" s="69"/>
      <c r="AF654" s="69"/>
      <c r="AK654" s="69"/>
      <c r="AM654" s="69"/>
      <c r="AS654" s="69"/>
      <c r="AU654" s="3"/>
      <c r="AV654" s="69"/>
      <c r="AZ654" s="30"/>
    </row>
    <row r="655">
      <c r="C655" s="3"/>
      <c r="D655" s="69"/>
      <c r="H655" s="69"/>
      <c r="O655" s="49"/>
      <c r="P655" s="69"/>
      <c r="S655" s="69"/>
      <c r="X655" s="69"/>
      <c r="AF655" s="69"/>
      <c r="AK655" s="69"/>
      <c r="AM655" s="69"/>
      <c r="AS655" s="69"/>
      <c r="AU655" s="3"/>
      <c r="AV655" s="69"/>
      <c r="AZ655" s="30"/>
    </row>
    <row r="656">
      <c r="C656" s="3"/>
      <c r="D656" s="69"/>
      <c r="H656" s="69"/>
      <c r="O656" s="49"/>
      <c r="P656" s="69"/>
      <c r="S656" s="69"/>
      <c r="X656" s="69"/>
      <c r="AF656" s="69"/>
      <c r="AK656" s="69"/>
      <c r="AM656" s="69"/>
      <c r="AS656" s="69"/>
      <c r="AU656" s="3"/>
      <c r="AV656" s="69"/>
      <c r="AZ656" s="30"/>
    </row>
    <row r="657">
      <c r="C657" s="3"/>
      <c r="D657" s="69"/>
      <c r="H657" s="69"/>
      <c r="O657" s="49"/>
      <c r="P657" s="69"/>
      <c r="S657" s="69"/>
      <c r="X657" s="69"/>
      <c r="AF657" s="69"/>
      <c r="AK657" s="69"/>
      <c r="AM657" s="69"/>
      <c r="AS657" s="69"/>
      <c r="AU657" s="3"/>
      <c r="AV657" s="69"/>
      <c r="AZ657" s="30"/>
    </row>
    <row r="658">
      <c r="C658" s="3"/>
      <c r="D658" s="69"/>
      <c r="H658" s="69"/>
      <c r="O658" s="49"/>
      <c r="P658" s="69"/>
      <c r="S658" s="69"/>
      <c r="X658" s="69"/>
      <c r="AF658" s="69"/>
      <c r="AK658" s="69"/>
      <c r="AM658" s="69"/>
      <c r="AS658" s="69"/>
      <c r="AU658" s="3"/>
      <c r="AV658" s="69"/>
      <c r="AZ658" s="30"/>
    </row>
    <row r="659">
      <c r="C659" s="3"/>
      <c r="D659" s="69"/>
      <c r="H659" s="69"/>
      <c r="O659" s="49"/>
      <c r="P659" s="69"/>
      <c r="S659" s="69"/>
      <c r="X659" s="69"/>
      <c r="AF659" s="69"/>
      <c r="AK659" s="69"/>
      <c r="AM659" s="69"/>
      <c r="AS659" s="69"/>
      <c r="AU659" s="3"/>
      <c r="AV659" s="69"/>
      <c r="AZ659" s="30"/>
    </row>
    <row r="660">
      <c r="C660" s="3"/>
      <c r="D660" s="69"/>
      <c r="H660" s="69"/>
      <c r="O660" s="49"/>
      <c r="P660" s="69"/>
      <c r="S660" s="69"/>
      <c r="X660" s="69"/>
      <c r="AF660" s="69"/>
      <c r="AK660" s="69"/>
      <c r="AM660" s="69"/>
      <c r="AS660" s="69"/>
      <c r="AU660" s="3"/>
      <c r="AV660" s="69"/>
      <c r="AZ660" s="30"/>
    </row>
    <row r="661">
      <c r="C661" s="3"/>
      <c r="D661" s="69"/>
      <c r="H661" s="69"/>
      <c r="O661" s="49"/>
      <c r="P661" s="69"/>
      <c r="S661" s="69"/>
      <c r="X661" s="69"/>
      <c r="AF661" s="69"/>
      <c r="AK661" s="69"/>
      <c r="AM661" s="69"/>
      <c r="AS661" s="69"/>
      <c r="AU661" s="3"/>
      <c r="AV661" s="69"/>
      <c r="AZ661" s="30"/>
    </row>
    <row r="662">
      <c r="C662" s="3"/>
      <c r="D662" s="69"/>
      <c r="H662" s="69"/>
      <c r="O662" s="49"/>
      <c r="P662" s="69"/>
      <c r="S662" s="69"/>
      <c r="X662" s="69"/>
      <c r="AF662" s="69"/>
      <c r="AK662" s="69"/>
      <c r="AM662" s="69"/>
      <c r="AS662" s="69"/>
      <c r="AU662" s="3"/>
      <c r="AV662" s="69"/>
      <c r="AZ662" s="30"/>
    </row>
    <row r="663">
      <c r="C663" s="3"/>
      <c r="D663" s="69"/>
      <c r="H663" s="69"/>
      <c r="O663" s="49"/>
      <c r="P663" s="69"/>
      <c r="S663" s="69"/>
      <c r="X663" s="69"/>
      <c r="AF663" s="69"/>
      <c r="AK663" s="69"/>
      <c r="AM663" s="69"/>
      <c r="AS663" s="69"/>
      <c r="AU663" s="3"/>
      <c r="AV663" s="69"/>
      <c r="AZ663" s="30"/>
    </row>
    <row r="664">
      <c r="C664" s="3"/>
      <c r="D664" s="69"/>
      <c r="H664" s="69"/>
      <c r="O664" s="49"/>
      <c r="P664" s="69"/>
      <c r="S664" s="69"/>
      <c r="X664" s="69"/>
      <c r="AF664" s="69"/>
      <c r="AK664" s="69"/>
      <c r="AM664" s="69"/>
      <c r="AS664" s="69"/>
      <c r="AU664" s="3"/>
      <c r="AV664" s="69"/>
      <c r="AZ664" s="30"/>
    </row>
    <row r="665">
      <c r="C665" s="3"/>
      <c r="D665" s="69"/>
      <c r="H665" s="69"/>
      <c r="O665" s="49"/>
      <c r="P665" s="69"/>
      <c r="S665" s="69"/>
      <c r="X665" s="69"/>
      <c r="AF665" s="69"/>
      <c r="AK665" s="69"/>
      <c r="AM665" s="69"/>
      <c r="AS665" s="69"/>
      <c r="AU665" s="3"/>
      <c r="AV665" s="69"/>
      <c r="AZ665" s="30"/>
    </row>
    <row r="666">
      <c r="C666" s="3"/>
      <c r="D666" s="69"/>
      <c r="H666" s="69"/>
      <c r="O666" s="49"/>
      <c r="P666" s="69"/>
      <c r="S666" s="69"/>
      <c r="X666" s="69"/>
      <c r="AF666" s="69"/>
      <c r="AK666" s="69"/>
      <c r="AM666" s="69"/>
      <c r="AS666" s="69"/>
      <c r="AU666" s="3"/>
      <c r="AV666" s="69"/>
      <c r="AZ666" s="30"/>
    </row>
    <row r="667">
      <c r="C667" s="3"/>
      <c r="D667" s="69"/>
      <c r="H667" s="69"/>
      <c r="O667" s="49"/>
      <c r="P667" s="69"/>
      <c r="S667" s="69"/>
      <c r="X667" s="69"/>
      <c r="AF667" s="69"/>
      <c r="AK667" s="69"/>
      <c r="AM667" s="69"/>
      <c r="AS667" s="69"/>
      <c r="AU667" s="3"/>
      <c r="AV667" s="69"/>
      <c r="AZ667" s="30"/>
    </row>
    <row r="668">
      <c r="C668" s="3"/>
      <c r="D668" s="69"/>
      <c r="H668" s="69"/>
      <c r="O668" s="49"/>
      <c r="P668" s="69"/>
      <c r="S668" s="69"/>
      <c r="X668" s="69"/>
      <c r="AF668" s="69"/>
      <c r="AK668" s="69"/>
      <c r="AM668" s="69"/>
      <c r="AS668" s="69"/>
      <c r="AU668" s="3"/>
      <c r="AV668" s="69"/>
      <c r="AZ668" s="30"/>
    </row>
    <row r="669">
      <c r="C669" s="3"/>
      <c r="D669" s="69"/>
      <c r="H669" s="69"/>
      <c r="O669" s="49"/>
      <c r="P669" s="69"/>
      <c r="S669" s="69"/>
      <c r="X669" s="69"/>
      <c r="AF669" s="69"/>
      <c r="AK669" s="69"/>
      <c r="AM669" s="69"/>
      <c r="AS669" s="69"/>
      <c r="AU669" s="3"/>
      <c r="AV669" s="69"/>
      <c r="AZ669" s="30"/>
    </row>
    <row r="670">
      <c r="C670" s="3"/>
      <c r="D670" s="69"/>
      <c r="H670" s="69"/>
      <c r="O670" s="49"/>
      <c r="P670" s="69"/>
      <c r="S670" s="69"/>
      <c r="X670" s="69"/>
      <c r="AF670" s="69"/>
      <c r="AK670" s="69"/>
      <c r="AM670" s="69"/>
      <c r="AS670" s="69"/>
      <c r="AU670" s="3"/>
      <c r="AV670" s="69"/>
      <c r="AZ670" s="30"/>
    </row>
    <row r="671">
      <c r="C671" s="3"/>
      <c r="D671" s="69"/>
      <c r="H671" s="69"/>
      <c r="O671" s="49"/>
      <c r="P671" s="69"/>
      <c r="S671" s="69"/>
      <c r="X671" s="69"/>
      <c r="AF671" s="69"/>
      <c r="AK671" s="69"/>
      <c r="AM671" s="69"/>
      <c r="AS671" s="69"/>
      <c r="AU671" s="3"/>
      <c r="AV671" s="69"/>
      <c r="AZ671" s="30"/>
    </row>
    <row r="672">
      <c r="C672" s="3"/>
      <c r="D672" s="69"/>
      <c r="H672" s="69"/>
      <c r="O672" s="49"/>
      <c r="P672" s="69"/>
      <c r="S672" s="69"/>
      <c r="X672" s="69"/>
      <c r="AF672" s="69"/>
      <c r="AK672" s="69"/>
      <c r="AM672" s="69"/>
      <c r="AS672" s="69"/>
      <c r="AU672" s="3"/>
      <c r="AV672" s="69"/>
      <c r="AZ672" s="30"/>
    </row>
    <row r="673">
      <c r="C673" s="3"/>
      <c r="D673" s="69"/>
      <c r="H673" s="69"/>
      <c r="O673" s="49"/>
      <c r="P673" s="69"/>
      <c r="S673" s="69"/>
      <c r="X673" s="69"/>
      <c r="AF673" s="69"/>
      <c r="AK673" s="69"/>
      <c r="AM673" s="69"/>
      <c r="AS673" s="69"/>
      <c r="AU673" s="3"/>
      <c r="AV673" s="69"/>
      <c r="AZ673" s="30"/>
    </row>
    <row r="674">
      <c r="C674" s="3"/>
      <c r="D674" s="69"/>
      <c r="H674" s="69"/>
      <c r="O674" s="49"/>
      <c r="P674" s="69"/>
      <c r="S674" s="69"/>
      <c r="X674" s="69"/>
      <c r="AF674" s="69"/>
      <c r="AK674" s="69"/>
      <c r="AM674" s="69"/>
      <c r="AS674" s="69"/>
      <c r="AU674" s="3"/>
      <c r="AV674" s="69"/>
      <c r="AZ674" s="30"/>
    </row>
    <row r="675">
      <c r="C675" s="3"/>
      <c r="D675" s="69"/>
      <c r="H675" s="69"/>
      <c r="O675" s="49"/>
      <c r="P675" s="69"/>
      <c r="S675" s="69"/>
      <c r="X675" s="69"/>
      <c r="AF675" s="69"/>
      <c r="AK675" s="69"/>
      <c r="AM675" s="69"/>
      <c r="AS675" s="69"/>
      <c r="AU675" s="3"/>
      <c r="AV675" s="69"/>
      <c r="AZ675" s="30"/>
    </row>
    <row r="676">
      <c r="C676" s="3"/>
      <c r="D676" s="69"/>
      <c r="H676" s="69"/>
      <c r="O676" s="49"/>
      <c r="P676" s="69"/>
      <c r="S676" s="69"/>
      <c r="X676" s="69"/>
      <c r="AF676" s="69"/>
      <c r="AK676" s="69"/>
      <c r="AM676" s="69"/>
      <c r="AS676" s="69"/>
      <c r="AU676" s="3"/>
      <c r="AV676" s="69"/>
      <c r="AZ676" s="30"/>
    </row>
    <row r="677">
      <c r="C677" s="3"/>
      <c r="D677" s="69"/>
      <c r="H677" s="69"/>
      <c r="O677" s="49"/>
      <c r="P677" s="69"/>
      <c r="S677" s="69"/>
      <c r="X677" s="69"/>
      <c r="AF677" s="69"/>
      <c r="AK677" s="69"/>
      <c r="AM677" s="69"/>
      <c r="AS677" s="69"/>
      <c r="AU677" s="3"/>
      <c r="AV677" s="69"/>
      <c r="AZ677" s="30"/>
    </row>
    <row r="678">
      <c r="C678" s="3"/>
      <c r="D678" s="69"/>
      <c r="H678" s="69"/>
      <c r="O678" s="49"/>
      <c r="P678" s="69"/>
      <c r="S678" s="69"/>
      <c r="X678" s="69"/>
      <c r="AF678" s="69"/>
      <c r="AK678" s="69"/>
      <c r="AM678" s="69"/>
      <c r="AS678" s="69"/>
      <c r="AU678" s="3"/>
      <c r="AV678" s="69"/>
      <c r="AZ678" s="30"/>
    </row>
    <row r="679">
      <c r="C679" s="3"/>
      <c r="D679" s="69"/>
      <c r="H679" s="69"/>
      <c r="O679" s="49"/>
      <c r="P679" s="69"/>
      <c r="S679" s="69"/>
      <c r="X679" s="69"/>
      <c r="AF679" s="69"/>
      <c r="AK679" s="69"/>
      <c r="AM679" s="69"/>
      <c r="AS679" s="69"/>
      <c r="AU679" s="3"/>
      <c r="AV679" s="69"/>
      <c r="AZ679" s="30"/>
    </row>
    <row r="680">
      <c r="C680" s="3"/>
      <c r="D680" s="69"/>
      <c r="H680" s="69"/>
      <c r="O680" s="49"/>
      <c r="P680" s="69"/>
      <c r="S680" s="69"/>
      <c r="X680" s="69"/>
      <c r="AF680" s="69"/>
      <c r="AK680" s="69"/>
      <c r="AM680" s="69"/>
      <c r="AS680" s="69"/>
      <c r="AU680" s="3"/>
      <c r="AV680" s="69"/>
      <c r="AZ680" s="30"/>
    </row>
    <row r="681">
      <c r="C681" s="3"/>
      <c r="D681" s="69"/>
      <c r="H681" s="69"/>
      <c r="O681" s="49"/>
      <c r="P681" s="69"/>
      <c r="S681" s="69"/>
      <c r="X681" s="69"/>
      <c r="AF681" s="69"/>
      <c r="AK681" s="69"/>
      <c r="AM681" s="69"/>
      <c r="AS681" s="69"/>
      <c r="AU681" s="3"/>
      <c r="AV681" s="69"/>
      <c r="AZ681" s="30"/>
    </row>
    <row r="682">
      <c r="C682" s="3"/>
      <c r="D682" s="69"/>
      <c r="H682" s="69"/>
      <c r="O682" s="49"/>
      <c r="P682" s="69"/>
      <c r="S682" s="69"/>
      <c r="X682" s="69"/>
      <c r="AF682" s="69"/>
      <c r="AK682" s="69"/>
      <c r="AM682" s="69"/>
      <c r="AS682" s="69"/>
      <c r="AU682" s="3"/>
      <c r="AV682" s="69"/>
      <c r="AZ682" s="30"/>
    </row>
    <row r="683">
      <c r="C683" s="3"/>
      <c r="D683" s="69"/>
      <c r="H683" s="69"/>
      <c r="O683" s="49"/>
      <c r="P683" s="69"/>
      <c r="S683" s="69"/>
      <c r="X683" s="69"/>
      <c r="AF683" s="69"/>
      <c r="AK683" s="69"/>
      <c r="AM683" s="69"/>
      <c r="AS683" s="69"/>
      <c r="AU683" s="3"/>
      <c r="AV683" s="69"/>
      <c r="AZ683" s="30"/>
    </row>
    <row r="684">
      <c r="C684" s="3"/>
      <c r="D684" s="69"/>
      <c r="H684" s="69"/>
      <c r="O684" s="49"/>
      <c r="P684" s="69"/>
      <c r="S684" s="69"/>
      <c r="X684" s="69"/>
      <c r="AF684" s="69"/>
      <c r="AK684" s="69"/>
      <c r="AM684" s="69"/>
      <c r="AS684" s="69"/>
      <c r="AU684" s="3"/>
      <c r="AV684" s="69"/>
      <c r="AZ684" s="30"/>
    </row>
    <row r="685">
      <c r="C685" s="3"/>
      <c r="D685" s="69"/>
      <c r="H685" s="69"/>
      <c r="O685" s="49"/>
      <c r="P685" s="69"/>
      <c r="S685" s="69"/>
      <c r="X685" s="69"/>
      <c r="AF685" s="69"/>
      <c r="AK685" s="69"/>
      <c r="AM685" s="69"/>
      <c r="AS685" s="69"/>
      <c r="AU685" s="3"/>
      <c r="AV685" s="69"/>
      <c r="AZ685" s="30"/>
    </row>
    <row r="686">
      <c r="C686" s="3"/>
      <c r="D686" s="69"/>
      <c r="H686" s="69"/>
      <c r="O686" s="49"/>
      <c r="P686" s="69"/>
      <c r="S686" s="69"/>
      <c r="X686" s="69"/>
      <c r="AF686" s="69"/>
      <c r="AK686" s="69"/>
      <c r="AM686" s="69"/>
      <c r="AS686" s="69"/>
      <c r="AU686" s="3"/>
      <c r="AV686" s="69"/>
      <c r="AZ686" s="30"/>
    </row>
    <row r="687">
      <c r="C687" s="3"/>
      <c r="D687" s="69"/>
      <c r="H687" s="69"/>
      <c r="O687" s="49"/>
      <c r="P687" s="69"/>
      <c r="S687" s="69"/>
      <c r="X687" s="69"/>
      <c r="AF687" s="69"/>
      <c r="AK687" s="69"/>
      <c r="AM687" s="69"/>
      <c r="AS687" s="69"/>
      <c r="AU687" s="3"/>
      <c r="AV687" s="69"/>
      <c r="AZ687" s="30"/>
    </row>
    <row r="688">
      <c r="C688" s="3"/>
      <c r="D688" s="69"/>
      <c r="H688" s="69"/>
      <c r="O688" s="49"/>
      <c r="P688" s="69"/>
      <c r="S688" s="69"/>
      <c r="X688" s="69"/>
      <c r="AF688" s="69"/>
      <c r="AK688" s="69"/>
      <c r="AM688" s="69"/>
      <c r="AS688" s="69"/>
      <c r="AU688" s="3"/>
      <c r="AV688" s="69"/>
      <c r="AZ688" s="30"/>
    </row>
    <row r="689">
      <c r="C689" s="3"/>
      <c r="D689" s="69"/>
      <c r="H689" s="69"/>
      <c r="O689" s="49"/>
      <c r="P689" s="69"/>
      <c r="S689" s="69"/>
      <c r="X689" s="69"/>
      <c r="AF689" s="69"/>
      <c r="AK689" s="69"/>
      <c r="AM689" s="69"/>
      <c r="AS689" s="69"/>
      <c r="AU689" s="3"/>
      <c r="AV689" s="69"/>
      <c r="AZ689" s="30"/>
    </row>
    <row r="690">
      <c r="C690" s="3"/>
      <c r="D690" s="69"/>
      <c r="H690" s="69"/>
      <c r="O690" s="49"/>
      <c r="P690" s="69"/>
      <c r="S690" s="69"/>
      <c r="X690" s="69"/>
      <c r="AF690" s="69"/>
      <c r="AK690" s="69"/>
      <c r="AM690" s="69"/>
      <c r="AS690" s="69"/>
      <c r="AU690" s="3"/>
      <c r="AV690" s="69"/>
      <c r="AZ690" s="30"/>
    </row>
    <row r="691">
      <c r="C691" s="3"/>
      <c r="D691" s="69"/>
      <c r="H691" s="69"/>
      <c r="O691" s="49"/>
      <c r="P691" s="69"/>
      <c r="S691" s="69"/>
      <c r="X691" s="69"/>
      <c r="AF691" s="69"/>
      <c r="AK691" s="69"/>
      <c r="AM691" s="69"/>
      <c r="AS691" s="69"/>
      <c r="AU691" s="3"/>
      <c r="AV691" s="69"/>
      <c r="AZ691" s="30"/>
    </row>
    <row r="692">
      <c r="C692" s="3"/>
      <c r="D692" s="69"/>
      <c r="H692" s="69"/>
      <c r="O692" s="49"/>
      <c r="P692" s="69"/>
      <c r="S692" s="69"/>
      <c r="X692" s="69"/>
      <c r="AF692" s="69"/>
      <c r="AK692" s="69"/>
      <c r="AM692" s="69"/>
      <c r="AS692" s="69"/>
      <c r="AU692" s="3"/>
      <c r="AV692" s="69"/>
      <c r="AZ692" s="30"/>
    </row>
    <row r="693">
      <c r="C693" s="3"/>
      <c r="D693" s="69"/>
      <c r="H693" s="69"/>
      <c r="O693" s="49"/>
      <c r="P693" s="69"/>
      <c r="S693" s="69"/>
      <c r="X693" s="69"/>
      <c r="AF693" s="69"/>
      <c r="AK693" s="69"/>
      <c r="AM693" s="69"/>
      <c r="AS693" s="69"/>
      <c r="AU693" s="3"/>
      <c r="AV693" s="69"/>
      <c r="AZ693" s="30"/>
    </row>
    <row r="694">
      <c r="C694" s="3"/>
      <c r="D694" s="69"/>
      <c r="H694" s="69"/>
      <c r="O694" s="49"/>
      <c r="P694" s="69"/>
      <c r="S694" s="69"/>
      <c r="X694" s="69"/>
      <c r="AF694" s="69"/>
      <c r="AK694" s="69"/>
      <c r="AM694" s="69"/>
      <c r="AS694" s="69"/>
      <c r="AU694" s="3"/>
      <c r="AV694" s="69"/>
      <c r="AZ694" s="30"/>
    </row>
    <row r="695">
      <c r="C695" s="3"/>
      <c r="D695" s="69"/>
      <c r="H695" s="69"/>
      <c r="O695" s="49"/>
      <c r="P695" s="69"/>
      <c r="S695" s="69"/>
      <c r="X695" s="69"/>
      <c r="AF695" s="69"/>
      <c r="AK695" s="69"/>
      <c r="AM695" s="69"/>
      <c r="AS695" s="69"/>
      <c r="AU695" s="3"/>
      <c r="AV695" s="69"/>
      <c r="AZ695" s="30"/>
    </row>
    <row r="696">
      <c r="C696" s="3"/>
      <c r="D696" s="69"/>
      <c r="H696" s="69"/>
      <c r="O696" s="49"/>
      <c r="P696" s="69"/>
      <c r="S696" s="69"/>
      <c r="X696" s="69"/>
      <c r="AF696" s="69"/>
      <c r="AK696" s="69"/>
      <c r="AM696" s="69"/>
      <c r="AS696" s="69"/>
      <c r="AU696" s="3"/>
      <c r="AV696" s="69"/>
      <c r="AZ696" s="30"/>
    </row>
    <row r="697">
      <c r="C697" s="3"/>
      <c r="D697" s="69"/>
      <c r="H697" s="69"/>
      <c r="O697" s="49"/>
      <c r="P697" s="69"/>
      <c r="S697" s="69"/>
      <c r="X697" s="69"/>
      <c r="AF697" s="69"/>
      <c r="AK697" s="69"/>
      <c r="AM697" s="69"/>
      <c r="AS697" s="69"/>
      <c r="AU697" s="3"/>
      <c r="AV697" s="69"/>
      <c r="AZ697" s="30"/>
    </row>
    <row r="698">
      <c r="C698" s="3"/>
      <c r="D698" s="69"/>
      <c r="H698" s="69"/>
      <c r="O698" s="49"/>
      <c r="P698" s="69"/>
      <c r="S698" s="69"/>
      <c r="X698" s="69"/>
      <c r="AF698" s="69"/>
      <c r="AK698" s="69"/>
      <c r="AM698" s="69"/>
      <c r="AS698" s="69"/>
      <c r="AU698" s="3"/>
      <c r="AV698" s="69"/>
      <c r="AZ698" s="30"/>
    </row>
    <row r="699">
      <c r="C699" s="3"/>
      <c r="D699" s="69"/>
      <c r="H699" s="69"/>
      <c r="O699" s="49"/>
      <c r="P699" s="69"/>
      <c r="S699" s="69"/>
      <c r="X699" s="69"/>
      <c r="AF699" s="69"/>
      <c r="AK699" s="69"/>
      <c r="AM699" s="69"/>
      <c r="AS699" s="69"/>
      <c r="AU699" s="3"/>
      <c r="AV699" s="69"/>
      <c r="AZ699" s="30"/>
    </row>
    <row r="700">
      <c r="C700" s="3"/>
      <c r="D700" s="69"/>
      <c r="H700" s="69"/>
      <c r="O700" s="49"/>
      <c r="P700" s="69"/>
      <c r="S700" s="69"/>
      <c r="X700" s="69"/>
      <c r="AF700" s="69"/>
      <c r="AK700" s="69"/>
      <c r="AM700" s="69"/>
      <c r="AS700" s="69"/>
      <c r="AU700" s="3"/>
      <c r="AV700" s="69"/>
      <c r="AZ700" s="30"/>
    </row>
    <row r="701">
      <c r="C701" s="3"/>
      <c r="D701" s="69"/>
      <c r="H701" s="69"/>
      <c r="O701" s="49"/>
      <c r="P701" s="69"/>
      <c r="S701" s="69"/>
      <c r="X701" s="69"/>
      <c r="AF701" s="69"/>
      <c r="AK701" s="69"/>
      <c r="AM701" s="69"/>
      <c r="AS701" s="69"/>
      <c r="AU701" s="3"/>
      <c r="AV701" s="69"/>
      <c r="AZ701" s="30"/>
    </row>
    <row r="702">
      <c r="C702" s="3"/>
      <c r="D702" s="69"/>
      <c r="H702" s="69"/>
      <c r="O702" s="49"/>
      <c r="P702" s="69"/>
      <c r="S702" s="69"/>
      <c r="X702" s="69"/>
      <c r="AF702" s="69"/>
      <c r="AK702" s="69"/>
      <c r="AM702" s="69"/>
      <c r="AS702" s="69"/>
      <c r="AU702" s="3"/>
      <c r="AV702" s="69"/>
      <c r="AZ702" s="30"/>
    </row>
    <row r="703">
      <c r="C703" s="3"/>
      <c r="D703" s="69"/>
      <c r="H703" s="69"/>
      <c r="O703" s="49"/>
      <c r="P703" s="69"/>
      <c r="S703" s="69"/>
      <c r="X703" s="69"/>
      <c r="AF703" s="69"/>
      <c r="AK703" s="69"/>
      <c r="AM703" s="69"/>
      <c r="AS703" s="69"/>
      <c r="AU703" s="3"/>
      <c r="AV703" s="69"/>
      <c r="AZ703" s="30"/>
    </row>
    <row r="704">
      <c r="C704" s="3"/>
      <c r="D704" s="69"/>
      <c r="H704" s="69"/>
      <c r="O704" s="49"/>
      <c r="P704" s="69"/>
      <c r="S704" s="69"/>
      <c r="X704" s="69"/>
      <c r="AF704" s="69"/>
      <c r="AK704" s="69"/>
      <c r="AM704" s="69"/>
      <c r="AS704" s="69"/>
      <c r="AU704" s="3"/>
      <c r="AV704" s="69"/>
      <c r="AZ704" s="30"/>
    </row>
    <row r="705">
      <c r="C705" s="3"/>
      <c r="D705" s="69"/>
      <c r="H705" s="69"/>
      <c r="O705" s="49"/>
      <c r="P705" s="69"/>
      <c r="S705" s="69"/>
      <c r="X705" s="69"/>
      <c r="AF705" s="69"/>
      <c r="AK705" s="69"/>
      <c r="AM705" s="69"/>
      <c r="AS705" s="69"/>
      <c r="AU705" s="3"/>
      <c r="AV705" s="69"/>
      <c r="AZ705" s="30"/>
    </row>
    <row r="706">
      <c r="C706" s="3"/>
      <c r="D706" s="69"/>
      <c r="H706" s="69"/>
      <c r="O706" s="49"/>
      <c r="P706" s="69"/>
      <c r="S706" s="69"/>
      <c r="X706" s="69"/>
      <c r="AF706" s="69"/>
      <c r="AK706" s="69"/>
      <c r="AM706" s="69"/>
      <c r="AS706" s="69"/>
      <c r="AU706" s="3"/>
      <c r="AV706" s="69"/>
      <c r="AZ706" s="30"/>
    </row>
    <row r="707">
      <c r="C707" s="3"/>
      <c r="D707" s="69"/>
      <c r="H707" s="69"/>
      <c r="O707" s="49"/>
      <c r="P707" s="69"/>
      <c r="S707" s="69"/>
      <c r="X707" s="69"/>
      <c r="AF707" s="69"/>
      <c r="AK707" s="69"/>
      <c r="AM707" s="69"/>
      <c r="AS707" s="69"/>
      <c r="AU707" s="3"/>
      <c r="AV707" s="69"/>
      <c r="AZ707" s="30"/>
    </row>
    <row r="708">
      <c r="C708" s="3"/>
      <c r="D708" s="69"/>
      <c r="H708" s="69"/>
      <c r="O708" s="49"/>
      <c r="P708" s="69"/>
      <c r="S708" s="69"/>
      <c r="X708" s="69"/>
      <c r="AF708" s="69"/>
      <c r="AK708" s="69"/>
      <c r="AM708" s="69"/>
      <c r="AS708" s="69"/>
      <c r="AU708" s="3"/>
      <c r="AV708" s="69"/>
      <c r="AZ708" s="30"/>
    </row>
    <row r="709">
      <c r="C709" s="3"/>
      <c r="D709" s="69"/>
      <c r="H709" s="69"/>
      <c r="O709" s="49"/>
      <c r="P709" s="69"/>
      <c r="S709" s="69"/>
      <c r="X709" s="69"/>
      <c r="AF709" s="69"/>
      <c r="AK709" s="69"/>
      <c r="AM709" s="69"/>
      <c r="AS709" s="69"/>
      <c r="AU709" s="3"/>
      <c r="AV709" s="69"/>
      <c r="AZ709" s="30"/>
    </row>
    <row r="710">
      <c r="C710" s="3"/>
      <c r="D710" s="69"/>
      <c r="H710" s="69"/>
      <c r="O710" s="49"/>
      <c r="P710" s="69"/>
      <c r="S710" s="69"/>
      <c r="X710" s="69"/>
      <c r="AF710" s="69"/>
      <c r="AK710" s="69"/>
      <c r="AM710" s="69"/>
      <c r="AS710" s="69"/>
      <c r="AU710" s="3"/>
      <c r="AV710" s="69"/>
      <c r="AZ710" s="30"/>
    </row>
    <row r="711">
      <c r="C711" s="3"/>
      <c r="D711" s="69"/>
      <c r="H711" s="69"/>
      <c r="O711" s="49"/>
      <c r="P711" s="69"/>
      <c r="S711" s="69"/>
      <c r="X711" s="69"/>
      <c r="AF711" s="69"/>
      <c r="AK711" s="69"/>
      <c r="AM711" s="69"/>
      <c r="AS711" s="69"/>
      <c r="AU711" s="3"/>
      <c r="AV711" s="69"/>
      <c r="AZ711" s="30"/>
    </row>
    <row r="712">
      <c r="C712" s="3"/>
      <c r="D712" s="69"/>
      <c r="H712" s="69"/>
      <c r="O712" s="49"/>
      <c r="P712" s="69"/>
      <c r="S712" s="69"/>
      <c r="X712" s="69"/>
      <c r="AF712" s="69"/>
      <c r="AK712" s="69"/>
      <c r="AM712" s="69"/>
      <c r="AS712" s="69"/>
      <c r="AU712" s="3"/>
      <c r="AV712" s="69"/>
      <c r="AZ712" s="30"/>
    </row>
    <row r="713">
      <c r="C713" s="3"/>
      <c r="D713" s="69"/>
      <c r="H713" s="69"/>
      <c r="O713" s="49"/>
      <c r="P713" s="69"/>
      <c r="S713" s="69"/>
      <c r="X713" s="69"/>
      <c r="AF713" s="69"/>
      <c r="AK713" s="69"/>
      <c r="AM713" s="69"/>
      <c r="AS713" s="69"/>
      <c r="AU713" s="3"/>
      <c r="AV713" s="69"/>
      <c r="AZ713" s="30"/>
    </row>
    <row r="714">
      <c r="C714" s="3"/>
      <c r="D714" s="69"/>
      <c r="H714" s="69"/>
      <c r="O714" s="49"/>
      <c r="P714" s="69"/>
      <c r="S714" s="69"/>
      <c r="X714" s="69"/>
      <c r="AF714" s="69"/>
      <c r="AK714" s="69"/>
      <c r="AM714" s="69"/>
      <c r="AS714" s="69"/>
      <c r="AU714" s="3"/>
      <c r="AV714" s="69"/>
      <c r="AZ714" s="30"/>
    </row>
    <row r="715">
      <c r="C715" s="3"/>
      <c r="D715" s="69"/>
      <c r="H715" s="69"/>
      <c r="O715" s="49"/>
      <c r="P715" s="69"/>
      <c r="S715" s="69"/>
      <c r="X715" s="69"/>
      <c r="AF715" s="69"/>
      <c r="AK715" s="69"/>
      <c r="AM715" s="69"/>
      <c r="AS715" s="69"/>
      <c r="AU715" s="3"/>
      <c r="AV715" s="69"/>
      <c r="AZ715" s="30"/>
    </row>
    <row r="716">
      <c r="C716" s="3"/>
      <c r="D716" s="69"/>
      <c r="H716" s="69"/>
      <c r="O716" s="49"/>
      <c r="P716" s="69"/>
      <c r="S716" s="69"/>
      <c r="X716" s="69"/>
      <c r="AF716" s="69"/>
      <c r="AK716" s="69"/>
      <c r="AM716" s="69"/>
      <c r="AS716" s="69"/>
      <c r="AU716" s="3"/>
      <c r="AV716" s="69"/>
      <c r="AZ716" s="30"/>
    </row>
    <row r="717">
      <c r="C717" s="3"/>
      <c r="D717" s="69"/>
      <c r="H717" s="69"/>
      <c r="O717" s="49"/>
      <c r="P717" s="69"/>
      <c r="S717" s="69"/>
      <c r="X717" s="69"/>
      <c r="AF717" s="69"/>
      <c r="AK717" s="69"/>
      <c r="AM717" s="69"/>
      <c r="AS717" s="69"/>
      <c r="AU717" s="3"/>
      <c r="AV717" s="69"/>
      <c r="AZ717" s="30"/>
    </row>
    <row r="718">
      <c r="C718" s="3"/>
      <c r="D718" s="69"/>
      <c r="H718" s="69"/>
      <c r="O718" s="49"/>
      <c r="P718" s="69"/>
      <c r="S718" s="69"/>
      <c r="X718" s="69"/>
      <c r="AF718" s="69"/>
      <c r="AK718" s="69"/>
      <c r="AM718" s="69"/>
      <c r="AS718" s="69"/>
      <c r="AU718" s="3"/>
      <c r="AV718" s="69"/>
      <c r="AZ718" s="30"/>
    </row>
    <row r="719">
      <c r="C719" s="3"/>
      <c r="D719" s="69"/>
      <c r="H719" s="69"/>
      <c r="O719" s="49"/>
      <c r="P719" s="69"/>
      <c r="S719" s="69"/>
      <c r="X719" s="69"/>
      <c r="AF719" s="69"/>
      <c r="AK719" s="69"/>
      <c r="AM719" s="69"/>
      <c r="AS719" s="69"/>
      <c r="AU719" s="3"/>
      <c r="AV719" s="69"/>
      <c r="AZ719" s="30"/>
    </row>
    <row r="720">
      <c r="C720" s="3"/>
      <c r="D720" s="69"/>
      <c r="H720" s="69"/>
      <c r="O720" s="49"/>
      <c r="P720" s="69"/>
      <c r="S720" s="69"/>
      <c r="X720" s="69"/>
      <c r="AF720" s="69"/>
      <c r="AK720" s="69"/>
      <c r="AM720" s="69"/>
      <c r="AS720" s="69"/>
      <c r="AU720" s="3"/>
      <c r="AV720" s="69"/>
      <c r="AZ720" s="30"/>
    </row>
    <row r="721">
      <c r="C721" s="3"/>
      <c r="D721" s="69"/>
      <c r="H721" s="69"/>
      <c r="O721" s="49"/>
      <c r="P721" s="69"/>
      <c r="S721" s="69"/>
      <c r="X721" s="69"/>
      <c r="AF721" s="69"/>
      <c r="AK721" s="69"/>
      <c r="AM721" s="69"/>
      <c r="AS721" s="69"/>
      <c r="AU721" s="3"/>
      <c r="AV721" s="69"/>
      <c r="AZ721" s="30"/>
    </row>
    <row r="722">
      <c r="C722" s="3"/>
      <c r="D722" s="69"/>
      <c r="H722" s="69"/>
      <c r="O722" s="49"/>
      <c r="P722" s="69"/>
      <c r="S722" s="69"/>
      <c r="X722" s="69"/>
      <c r="AF722" s="69"/>
      <c r="AK722" s="69"/>
      <c r="AM722" s="69"/>
      <c r="AS722" s="69"/>
      <c r="AU722" s="3"/>
      <c r="AV722" s="69"/>
      <c r="AZ722" s="30"/>
    </row>
    <row r="723">
      <c r="C723" s="3"/>
      <c r="D723" s="69"/>
      <c r="H723" s="69"/>
      <c r="O723" s="49"/>
      <c r="P723" s="69"/>
      <c r="S723" s="69"/>
      <c r="X723" s="69"/>
      <c r="AF723" s="69"/>
      <c r="AK723" s="69"/>
      <c r="AM723" s="69"/>
      <c r="AS723" s="69"/>
      <c r="AU723" s="3"/>
      <c r="AV723" s="69"/>
      <c r="AZ723" s="30"/>
    </row>
    <row r="724">
      <c r="C724" s="3"/>
      <c r="D724" s="69"/>
      <c r="H724" s="69"/>
      <c r="O724" s="49"/>
      <c r="P724" s="69"/>
      <c r="S724" s="69"/>
      <c r="X724" s="69"/>
      <c r="AF724" s="69"/>
      <c r="AK724" s="69"/>
      <c r="AM724" s="69"/>
      <c r="AS724" s="69"/>
      <c r="AU724" s="3"/>
      <c r="AV724" s="69"/>
      <c r="AZ724" s="30"/>
    </row>
    <row r="725">
      <c r="C725" s="3"/>
      <c r="D725" s="69"/>
      <c r="H725" s="69"/>
      <c r="O725" s="49"/>
      <c r="P725" s="69"/>
      <c r="S725" s="69"/>
      <c r="X725" s="69"/>
      <c r="AF725" s="69"/>
      <c r="AK725" s="69"/>
      <c r="AM725" s="69"/>
      <c r="AS725" s="69"/>
      <c r="AU725" s="3"/>
      <c r="AV725" s="69"/>
      <c r="AZ725" s="30"/>
    </row>
    <row r="726">
      <c r="C726" s="3"/>
      <c r="D726" s="69"/>
      <c r="H726" s="69"/>
      <c r="O726" s="49"/>
      <c r="P726" s="69"/>
      <c r="S726" s="69"/>
      <c r="X726" s="69"/>
      <c r="AF726" s="69"/>
      <c r="AK726" s="69"/>
      <c r="AM726" s="69"/>
      <c r="AS726" s="69"/>
      <c r="AU726" s="3"/>
      <c r="AV726" s="69"/>
      <c r="AZ726" s="30"/>
    </row>
    <row r="727">
      <c r="C727" s="3"/>
      <c r="D727" s="69"/>
      <c r="H727" s="69"/>
      <c r="O727" s="49"/>
      <c r="P727" s="69"/>
      <c r="S727" s="69"/>
      <c r="X727" s="69"/>
      <c r="AF727" s="69"/>
      <c r="AK727" s="69"/>
      <c r="AM727" s="69"/>
      <c r="AS727" s="69"/>
      <c r="AU727" s="3"/>
      <c r="AV727" s="69"/>
      <c r="AZ727" s="30"/>
    </row>
    <row r="728">
      <c r="C728" s="3"/>
      <c r="D728" s="69"/>
      <c r="H728" s="69"/>
      <c r="O728" s="49"/>
      <c r="P728" s="69"/>
      <c r="S728" s="69"/>
      <c r="X728" s="69"/>
      <c r="AF728" s="69"/>
      <c r="AK728" s="69"/>
      <c r="AM728" s="69"/>
      <c r="AS728" s="69"/>
      <c r="AU728" s="3"/>
      <c r="AV728" s="69"/>
      <c r="AZ728" s="30"/>
    </row>
    <row r="729">
      <c r="C729" s="3"/>
      <c r="D729" s="69"/>
      <c r="H729" s="69"/>
      <c r="O729" s="49"/>
      <c r="P729" s="69"/>
      <c r="S729" s="69"/>
      <c r="X729" s="69"/>
      <c r="AF729" s="69"/>
      <c r="AK729" s="69"/>
      <c r="AM729" s="69"/>
      <c r="AS729" s="69"/>
      <c r="AU729" s="3"/>
      <c r="AV729" s="69"/>
      <c r="AZ729" s="30"/>
    </row>
    <row r="730">
      <c r="C730" s="3"/>
      <c r="D730" s="69"/>
      <c r="H730" s="69"/>
      <c r="O730" s="49"/>
      <c r="P730" s="69"/>
      <c r="S730" s="69"/>
      <c r="X730" s="69"/>
      <c r="AF730" s="69"/>
      <c r="AK730" s="69"/>
      <c r="AM730" s="69"/>
      <c r="AS730" s="69"/>
      <c r="AU730" s="3"/>
      <c r="AV730" s="69"/>
      <c r="AZ730" s="30"/>
    </row>
    <row r="731">
      <c r="C731" s="3"/>
      <c r="D731" s="69"/>
      <c r="H731" s="69"/>
      <c r="O731" s="49"/>
      <c r="P731" s="69"/>
      <c r="S731" s="69"/>
      <c r="X731" s="69"/>
      <c r="AF731" s="69"/>
      <c r="AK731" s="69"/>
      <c r="AM731" s="69"/>
      <c r="AS731" s="69"/>
      <c r="AU731" s="3"/>
      <c r="AV731" s="69"/>
      <c r="AZ731" s="30"/>
    </row>
    <row r="732">
      <c r="C732" s="3"/>
      <c r="D732" s="69"/>
      <c r="H732" s="69"/>
      <c r="O732" s="49"/>
      <c r="P732" s="69"/>
      <c r="S732" s="69"/>
      <c r="X732" s="69"/>
      <c r="AF732" s="69"/>
      <c r="AK732" s="69"/>
      <c r="AM732" s="69"/>
      <c r="AS732" s="69"/>
      <c r="AU732" s="3"/>
      <c r="AV732" s="69"/>
      <c r="AZ732" s="30"/>
    </row>
    <row r="733">
      <c r="C733" s="3"/>
      <c r="D733" s="69"/>
      <c r="H733" s="69"/>
      <c r="O733" s="49"/>
      <c r="P733" s="69"/>
      <c r="S733" s="69"/>
      <c r="X733" s="69"/>
      <c r="AF733" s="69"/>
      <c r="AK733" s="69"/>
      <c r="AM733" s="69"/>
      <c r="AS733" s="69"/>
      <c r="AU733" s="3"/>
      <c r="AV733" s="69"/>
      <c r="AZ733" s="30"/>
    </row>
    <row r="734">
      <c r="C734" s="3"/>
      <c r="D734" s="69"/>
      <c r="H734" s="69"/>
      <c r="O734" s="49"/>
      <c r="P734" s="69"/>
      <c r="S734" s="69"/>
      <c r="X734" s="69"/>
      <c r="AF734" s="69"/>
      <c r="AK734" s="69"/>
      <c r="AM734" s="69"/>
      <c r="AS734" s="69"/>
      <c r="AU734" s="3"/>
      <c r="AV734" s="69"/>
      <c r="AZ734" s="30"/>
    </row>
    <row r="735">
      <c r="C735" s="3"/>
      <c r="D735" s="69"/>
      <c r="H735" s="69"/>
      <c r="O735" s="49"/>
      <c r="P735" s="69"/>
      <c r="S735" s="69"/>
      <c r="X735" s="69"/>
      <c r="AF735" s="69"/>
      <c r="AK735" s="69"/>
      <c r="AM735" s="69"/>
      <c r="AS735" s="69"/>
      <c r="AU735" s="3"/>
      <c r="AV735" s="69"/>
      <c r="AZ735" s="30"/>
    </row>
    <row r="736">
      <c r="C736" s="3"/>
      <c r="D736" s="69"/>
      <c r="H736" s="69"/>
      <c r="O736" s="49"/>
      <c r="P736" s="69"/>
      <c r="S736" s="69"/>
      <c r="X736" s="69"/>
      <c r="AF736" s="69"/>
      <c r="AK736" s="69"/>
      <c r="AM736" s="69"/>
      <c r="AS736" s="69"/>
      <c r="AU736" s="3"/>
      <c r="AV736" s="69"/>
      <c r="AZ736" s="30"/>
    </row>
    <row r="737">
      <c r="C737" s="3"/>
      <c r="D737" s="69"/>
      <c r="H737" s="69"/>
      <c r="O737" s="49"/>
      <c r="P737" s="69"/>
      <c r="S737" s="69"/>
      <c r="X737" s="69"/>
      <c r="AF737" s="69"/>
      <c r="AK737" s="69"/>
      <c r="AM737" s="69"/>
      <c r="AS737" s="69"/>
      <c r="AU737" s="3"/>
      <c r="AV737" s="69"/>
      <c r="AZ737" s="30"/>
    </row>
    <row r="738">
      <c r="C738" s="3"/>
      <c r="D738" s="69"/>
      <c r="H738" s="69"/>
      <c r="O738" s="49"/>
      <c r="P738" s="69"/>
      <c r="S738" s="69"/>
      <c r="X738" s="69"/>
      <c r="AF738" s="69"/>
      <c r="AK738" s="69"/>
      <c r="AM738" s="69"/>
      <c r="AS738" s="69"/>
      <c r="AU738" s="3"/>
      <c r="AV738" s="69"/>
      <c r="AZ738" s="30"/>
    </row>
    <row r="739">
      <c r="C739" s="3"/>
      <c r="D739" s="69"/>
      <c r="H739" s="69"/>
      <c r="O739" s="49"/>
      <c r="P739" s="69"/>
      <c r="S739" s="69"/>
      <c r="X739" s="69"/>
      <c r="AF739" s="69"/>
      <c r="AK739" s="69"/>
      <c r="AM739" s="69"/>
      <c r="AS739" s="69"/>
      <c r="AU739" s="3"/>
      <c r="AV739" s="69"/>
      <c r="AZ739" s="30"/>
    </row>
    <row r="740">
      <c r="C740" s="3"/>
      <c r="D740" s="69"/>
      <c r="H740" s="69"/>
      <c r="O740" s="49"/>
      <c r="P740" s="69"/>
      <c r="S740" s="69"/>
      <c r="X740" s="69"/>
      <c r="AF740" s="69"/>
      <c r="AK740" s="69"/>
      <c r="AM740" s="69"/>
      <c r="AS740" s="69"/>
      <c r="AU740" s="3"/>
      <c r="AV740" s="69"/>
      <c r="AZ740" s="30"/>
    </row>
    <row r="741">
      <c r="C741" s="3"/>
      <c r="D741" s="69"/>
      <c r="H741" s="69"/>
      <c r="O741" s="49"/>
      <c r="P741" s="69"/>
      <c r="S741" s="69"/>
      <c r="X741" s="69"/>
      <c r="AF741" s="69"/>
      <c r="AK741" s="69"/>
      <c r="AM741" s="69"/>
      <c r="AS741" s="69"/>
      <c r="AU741" s="3"/>
      <c r="AV741" s="69"/>
      <c r="AZ741" s="30"/>
    </row>
    <row r="742">
      <c r="C742" s="3"/>
      <c r="D742" s="69"/>
      <c r="H742" s="69"/>
      <c r="O742" s="49"/>
      <c r="P742" s="69"/>
      <c r="S742" s="69"/>
      <c r="X742" s="69"/>
      <c r="AF742" s="69"/>
      <c r="AK742" s="69"/>
      <c r="AM742" s="69"/>
      <c r="AS742" s="69"/>
      <c r="AU742" s="3"/>
      <c r="AV742" s="69"/>
      <c r="AZ742" s="30"/>
    </row>
    <row r="743">
      <c r="C743" s="3"/>
      <c r="D743" s="69"/>
      <c r="H743" s="69"/>
      <c r="O743" s="49"/>
      <c r="P743" s="69"/>
      <c r="S743" s="69"/>
      <c r="X743" s="69"/>
      <c r="AF743" s="69"/>
      <c r="AK743" s="69"/>
      <c r="AM743" s="69"/>
      <c r="AS743" s="69"/>
      <c r="AU743" s="3"/>
      <c r="AV743" s="69"/>
      <c r="AZ743" s="30"/>
    </row>
    <row r="744">
      <c r="C744" s="3"/>
      <c r="D744" s="69"/>
      <c r="H744" s="69"/>
      <c r="O744" s="49"/>
      <c r="P744" s="69"/>
      <c r="S744" s="69"/>
      <c r="X744" s="69"/>
      <c r="AF744" s="69"/>
      <c r="AK744" s="69"/>
      <c r="AM744" s="69"/>
      <c r="AS744" s="69"/>
      <c r="AU744" s="3"/>
      <c r="AV744" s="69"/>
      <c r="AZ744" s="30"/>
    </row>
    <row r="745">
      <c r="C745" s="3"/>
      <c r="D745" s="69"/>
      <c r="H745" s="69"/>
      <c r="O745" s="49"/>
      <c r="P745" s="69"/>
      <c r="S745" s="69"/>
      <c r="X745" s="69"/>
      <c r="AF745" s="69"/>
      <c r="AK745" s="69"/>
      <c r="AM745" s="69"/>
      <c r="AS745" s="69"/>
      <c r="AU745" s="3"/>
      <c r="AV745" s="69"/>
      <c r="AZ745" s="30"/>
    </row>
    <row r="746">
      <c r="C746" s="3"/>
      <c r="D746" s="69"/>
      <c r="H746" s="69"/>
      <c r="O746" s="49"/>
      <c r="P746" s="69"/>
      <c r="S746" s="69"/>
      <c r="X746" s="69"/>
      <c r="AF746" s="69"/>
      <c r="AK746" s="69"/>
      <c r="AM746" s="69"/>
      <c r="AS746" s="69"/>
      <c r="AU746" s="3"/>
      <c r="AV746" s="69"/>
      <c r="AZ746" s="30"/>
    </row>
    <row r="747">
      <c r="C747" s="3"/>
      <c r="D747" s="69"/>
      <c r="H747" s="69"/>
      <c r="O747" s="49"/>
      <c r="P747" s="69"/>
      <c r="S747" s="69"/>
      <c r="X747" s="69"/>
      <c r="AF747" s="69"/>
      <c r="AK747" s="69"/>
      <c r="AM747" s="69"/>
      <c r="AS747" s="69"/>
      <c r="AU747" s="3"/>
      <c r="AV747" s="69"/>
      <c r="AZ747" s="30"/>
    </row>
    <row r="748">
      <c r="C748" s="3"/>
      <c r="D748" s="69"/>
      <c r="H748" s="69"/>
      <c r="O748" s="49"/>
      <c r="P748" s="69"/>
      <c r="S748" s="69"/>
      <c r="X748" s="69"/>
      <c r="AF748" s="69"/>
      <c r="AK748" s="69"/>
      <c r="AM748" s="69"/>
      <c r="AS748" s="69"/>
      <c r="AU748" s="3"/>
      <c r="AV748" s="69"/>
      <c r="AZ748" s="30"/>
    </row>
    <row r="749">
      <c r="C749" s="3"/>
      <c r="D749" s="69"/>
      <c r="H749" s="69"/>
      <c r="O749" s="49"/>
      <c r="P749" s="69"/>
      <c r="S749" s="69"/>
      <c r="X749" s="69"/>
      <c r="AF749" s="69"/>
      <c r="AK749" s="69"/>
      <c r="AM749" s="69"/>
      <c r="AS749" s="69"/>
      <c r="AU749" s="3"/>
      <c r="AV749" s="69"/>
      <c r="AZ749" s="30"/>
    </row>
    <row r="750">
      <c r="C750" s="3"/>
      <c r="D750" s="69"/>
      <c r="H750" s="69"/>
      <c r="O750" s="49"/>
      <c r="P750" s="69"/>
      <c r="S750" s="69"/>
      <c r="X750" s="69"/>
      <c r="AF750" s="69"/>
      <c r="AK750" s="69"/>
      <c r="AM750" s="69"/>
      <c r="AS750" s="69"/>
      <c r="AU750" s="3"/>
      <c r="AV750" s="69"/>
      <c r="AZ750" s="30"/>
    </row>
    <row r="751">
      <c r="C751" s="3"/>
      <c r="D751" s="69"/>
      <c r="H751" s="69"/>
      <c r="O751" s="49"/>
      <c r="P751" s="69"/>
      <c r="S751" s="69"/>
      <c r="X751" s="69"/>
      <c r="AF751" s="69"/>
      <c r="AK751" s="69"/>
      <c r="AM751" s="69"/>
      <c r="AS751" s="69"/>
      <c r="AU751" s="3"/>
      <c r="AV751" s="69"/>
      <c r="AZ751" s="30"/>
    </row>
    <row r="752">
      <c r="C752" s="3"/>
      <c r="D752" s="69"/>
      <c r="H752" s="69"/>
      <c r="O752" s="49"/>
      <c r="P752" s="69"/>
      <c r="S752" s="69"/>
      <c r="X752" s="69"/>
      <c r="AF752" s="69"/>
      <c r="AK752" s="69"/>
      <c r="AM752" s="69"/>
      <c r="AS752" s="69"/>
      <c r="AU752" s="3"/>
      <c r="AV752" s="69"/>
      <c r="AZ752" s="30"/>
    </row>
    <row r="753">
      <c r="C753" s="3"/>
      <c r="D753" s="69"/>
      <c r="H753" s="69"/>
      <c r="O753" s="49"/>
      <c r="P753" s="69"/>
      <c r="S753" s="69"/>
      <c r="X753" s="69"/>
      <c r="AF753" s="69"/>
      <c r="AK753" s="69"/>
      <c r="AM753" s="69"/>
      <c r="AS753" s="69"/>
      <c r="AU753" s="3"/>
      <c r="AV753" s="69"/>
      <c r="AZ753" s="30"/>
    </row>
    <row r="754">
      <c r="C754" s="3"/>
      <c r="D754" s="69"/>
      <c r="H754" s="69"/>
      <c r="O754" s="49"/>
      <c r="P754" s="69"/>
      <c r="S754" s="69"/>
      <c r="X754" s="69"/>
      <c r="AF754" s="69"/>
      <c r="AK754" s="69"/>
      <c r="AM754" s="69"/>
      <c r="AS754" s="69"/>
      <c r="AU754" s="3"/>
      <c r="AV754" s="69"/>
      <c r="AZ754" s="30"/>
    </row>
    <row r="755">
      <c r="C755" s="3"/>
      <c r="D755" s="69"/>
      <c r="H755" s="69"/>
      <c r="O755" s="49"/>
      <c r="P755" s="69"/>
      <c r="S755" s="69"/>
      <c r="X755" s="69"/>
      <c r="AF755" s="69"/>
      <c r="AK755" s="69"/>
      <c r="AM755" s="69"/>
      <c r="AS755" s="69"/>
      <c r="AU755" s="3"/>
      <c r="AV755" s="69"/>
      <c r="AZ755" s="30"/>
    </row>
    <row r="756">
      <c r="C756" s="3"/>
      <c r="D756" s="69"/>
      <c r="H756" s="69"/>
      <c r="O756" s="49"/>
      <c r="P756" s="69"/>
      <c r="S756" s="69"/>
      <c r="X756" s="69"/>
      <c r="AF756" s="69"/>
      <c r="AK756" s="69"/>
      <c r="AM756" s="69"/>
      <c r="AS756" s="69"/>
      <c r="AU756" s="3"/>
      <c r="AV756" s="69"/>
      <c r="AZ756" s="30"/>
    </row>
    <row r="757">
      <c r="C757" s="3"/>
      <c r="D757" s="69"/>
      <c r="H757" s="69"/>
      <c r="O757" s="49"/>
      <c r="P757" s="69"/>
      <c r="S757" s="69"/>
      <c r="X757" s="69"/>
      <c r="AF757" s="69"/>
      <c r="AK757" s="69"/>
      <c r="AM757" s="69"/>
      <c r="AS757" s="69"/>
      <c r="AU757" s="3"/>
      <c r="AV757" s="69"/>
      <c r="AZ757" s="30"/>
    </row>
    <row r="758">
      <c r="C758" s="3"/>
      <c r="D758" s="69"/>
      <c r="H758" s="69"/>
      <c r="O758" s="49"/>
      <c r="P758" s="69"/>
      <c r="S758" s="69"/>
      <c r="X758" s="69"/>
      <c r="AF758" s="69"/>
      <c r="AK758" s="69"/>
      <c r="AM758" s="69"/>
      <c r="AS758" s="69"/>
      <c r="AU758" s="3"/>
      <c r="AV758" s="69"/>
      <c r="AZ758" s="30"/>
    </row>
    <row r="759">
      <c r="C759" s="3"/>
      <c r="D759" s="69"/>
      <c r="H759" s="69"/>
      <c r="O759" s="49"/>
      <c r="P759" s="69"/>
      <c r="S759" s="69"/>
      <c r="X759" s="69"/>
      <c r="AF759" s="69"/>
      <c r="AK759" s="69"/>
      <c r="AM759" s="69"/>
      <c r="AS759" s="69"/>
      <c r="AU759" s="3"/>
      <c r="AV759" s="69"/>
      <c r="AZ759" s="30"/>
    </row>
    <row r="760">
      <c r="C760" s="3"/>
      <c r="D760" s="69"/>
      <c r="H760" s="69"/>
      <c r="O760" s="49"/>
      <c r="P760" s="69"/>
      <c r="S760" s="69"/>
      <c r="X760" s="69"/>
      <c r="AF760" s="69"/>
      <c r="AK760" s="69"/>
      <c r="AM760" s="69"/>
      <c r="AS760" s="69"/>
      <c r="AU760" s="3"/>
      <c r="AV760" s="69"/>
      <c r="AZ760" s="30"/>
    </row>
    <row r="761">
      <c r="C761" s="3"/>
      <c r="D761" s="69"/>
      <c r="H761" s="69"/>
      <c r="O761" s="49"/>
      <c r="P761" s="69"/>
      <c r="S761" s="69"/>
      <c r="X761" s="69"/>
      <c r="AF761" s="69"/>
      <c r="AK761" s="69"/>
      <c r="AM761" s="69"/>
      <c r="AS761" s="69"/>
      <c r="AU761" s="3"/>
      <c r="AV761" s="69"/>
      <c r="AZ761" s="30"/>
    </row>
    <row r="762">
      <c r="C762" s="3"/>
      <c r="D762" s="69"/>
      <c r="H762" s="69"/>
      <c r="O762" s="49"/>
      <c r="P762" s="69"/>
      <c r="S762" s="69"/>
      <c r="X762" s="69"/>
      <c r="AF762" s="69"/>
      <c r="AK762" s="69"/>
      <c r="AM762" s="69"/>
      <c r="AS762" s="69"/>
      <c r="AU762" s="3"/>
      <c r="AV762" s="69"/>
      <c r="AZ762" s="30"/>
    </row>
    <row r="763">
      <c r="C763" s="3"/>
      <c r="D763" s="69"/>
      <c r="H763" s="69"/>
      <c r="O763" s="49"/>
      <c r="P763" s="69"/>
      <c r="S763" s="69"/>
      <c r="X763" s="69"/>
      <c r="AF763" s="69"/>
      <c r="AK763" s="69"/>
      <c r="AM763" s="69"/>
      <c r="AS763" s="69"/>
      <c r="AU763" s="3"/>
      <c r="AV763" s="69"/>
      <c r="AZ763" s="30"/>
    </row>
    <row r="764">
      <c r="C764" s="3"/>
      <c r="D764" s="69"/>
      <c r="H764" s="69"/>
      <c r="O764" s="49"/>
      <c r="P764" s="69"/>
      <c r="S764" s="69"/>
      <c r="X764" s="69"/>
      <c r="AF764" s="69"/>
      <c r="AK764" s="69"/>
      <c r="AM764" s="69"/>
      <c r="AS764" s="69"/>
      <c r="AU764" s="3"/>
      <c r="AV764" s="69"/>
      <c r="AZ764" s="30"/>
    </row>
    <row r="765">
      <c r="C765" s="3"/>
      <c r="D765" s="69"/>
      <c r="H765" s="69"/>
      <c r="O765" s="49"/>
      <c r="P765" s="69"/>
      <c r="S765" s="69"/>
      <c r="X765" s="69"/>
      <c r="AF765" s="69"/>
      <c r="AK765" s="69"/>
      <c r="AM765" s="69"/>
      <c r="AS765" s="69"/>
      <c r="AU765" s="3"/>
      <c r="AV765" s="69"/>
      <c r="AZ765" s="30"/>
    </row>
    <row r="766">
      <c r="C766" s="3"/>
      <c r="D766" s="69"/>
      <c r="H766" s="69"/>
      <c r="O766" s="49"/>
      <c r="P766" s="69"/>
      <c r="S766" s="69"/>
      <c r="X766" s="69"/>
      <c r="AF766" s="69"/>
      <c r="AK766" s="69"/>
      <c r="AM766" s="69"/>
      <c r="AS766" s="69"/>
      <c r="AU766" s="3"/>
      <c r="AV766" s="69"/>
      <c r="AZ766" s="30"/>
    </row>
    <row r="767">
      <c r="C767" s="3"/>
      <c r="D767" s="69"/>
      <c r="H767" s="69"/>
      <c r="O767" s="49"/>
      <c r="P767" s="69"/>
      <c r="S767" s="69"/>
      <c r="X767" s="69"/>
      <c r="AF767" s="69"/>
      <c r="AK767" s="69"/>
      <c r="AM767" s="69"/>
      <c r="AS767" s="69"/>
      <c r="AU767" s="3"/>
      <c r="AV767" s="69"/>
      <c r="AZ767" s="30"/>
    </row>
    <row r="768">
      <c r="C768" s="3"/>
      <c r="D768" s="69"/>
      <c r="H768" s="69"/>
      <c r="O768" s="49"/>
      <c r="P768" s="69"/>
      <c r="S768" s="69"/>
      <c r="X768" s="69"/>
      <c r="AF768" s="69"/>
      <c r="AK768" s="69"/>
      <c r="AM768" s="69"/>
      <c r="AS768" s="69"/>
      <c r="AU768" s="3"/>
      <c r="AV768" s="69"/>
      <c r="AZ768" s="30"/>
    </row>
    <row r="769">
      <c r="C769" s="3"/>
      <c r="D769" s="69"/>
      <c r="H769" s="69"/>
      <c r="O769" s="49"/>
      <c r="P769" s="69"/>
      <c r="S769" s="69"/>
      <c r="X769" s="69"/>
      <c r="AF769" s="69"/>
      <c r="AK769" s="69"/>
      <c r="AM769" s="69"/>
      <c r="AS769" s="69"/>
      <c r="AU769" s="3"/>
      <c r="AV769" s="69"/>
      <c r="AZ769" s="30"/>
    </row>
    <row r="770">
      <c r="C770" s="3"/>
      <c r="D770" s="69"/>
      <c r="H770" s="69"/>
      <c r="O770" s="49"/>
      <c r="P770" s="69"/>
      <c r="S770" s="69"/>
      <c r="X770" s="69"/>
      <c r="AF770" s="69"/>
      <c r="AK770" s="69"/>
      <c r="AM770" s="69"/>
      <c r="AS770" s="69"/>
      <c r="AU770" s="3"/>
      <c r="AV770" s="69"/>
      <c r="AZ770" s="30"/>
    </row>
    <row r="771">
      <c r="C771" s="3"/>
      <c r="D771" s="69"/>
      <c r="H771" s="69"/>
      <c r="O771" s="49"/>
      <c r="P771" s="69"/>
      <c r="S771" s="69"/>
      <c r="X771" s="69"/>
      <c r="AF771" s="69"/>
      <c r="AK771" s="69"/>
      <c r="AM771" s="69"/>
      <c r="AS771" s="69"/>
      <c r="AU771" s="3"/>
      <c r="AV771" s="69"/>
      <c r="AZ771" s="30"/>
    </row>
    <row r="772">
      <c r="C772" s="3"/>
      <c r="D772" s="69"/>
      <c r="H772" s="69"/>
      <c r="O772" s="49"/>
      <c r="P772" s="69"/>
      <c r="S772" s="69"/>
      <c r="X772" s="69"/>
      <c r="AF772" s="69"/>
      <c r="AK772" s="69"/>
      <c r="AM772" s="69"/>
      <c r="AS772" s="69"/>
      <c r="AU772" s="3"/>
      <c r="AV772" s="69"/>
      <c r="AZ772" s="30"/>
    </row>
    <row r="773">
      <c r="C773" s="3"/>
      <c r="D773" s="69"/>
      <c r="H773" s="69"/>
      <c r="O773" s="49"/>
      <c r="P773" s="69"/>
      <c r="S773" s="69"/>
      <c r="X773" s="69"/>
      <c r="AF773" s="69"/>
      <c r="AK773" s="69"/>
      <c r="AM773" s="69"/>
      <c r="AS773" s="69"/>
      <c r="AU773" s="3"/>
      <c r="AV773" s="69"/>
      <c r="AZ773" s="30"/>
    </row>
    <row r="774">
      <c r="C774" s="3"/>
      <c r="D774" s="69"/>
      <c r="H774" s="69"/>
      <c r="O774" s="49"/>
      <c r="P774" s="69"/>
      <c r="S774" s="69"/>
      <c r="X774" s="69"/>
      <c r="AF774" s="69"/>
      <c r="AK774" s="69"/>
      <c r="AM774" s="69"/>
      <c r="AS774" s="69"/>
      <c r="AU774" s="3"/>
      <c r="AV774" s="69"/>
      <c r="AZ774" s="30"/>
    </row>
    <row r="775">
      <c r="C775" s="3"/>
      <c r="D775" s="69"/>
      <c r="H775" s="69"/>
      <c r="O775" s="49"/>
      <c r="P775" s="69"/>
      <c r="S775" s="69"/>
      <c r="X775" s="69"/>
      <c r="AF775" s="69"/>
      <c r="AK775" s="69"/>
      <c r="AM775" s="69"/>
      <c r="AS775" s="69"/>
      <c r="AU775" s="3"/>
      <c r="AV775" s="69"/>
      <c r="AZ775" s="30"/>
    </row>
    <row r="776">
      <c r="C776" s="3"/>
      <c r="D776" s="69"/>
      <c r="H776" s="69"/>
      <c r="O776" s="49"/>
      <c r="P776" s="69"/>
      <c r="S776" s="69"/>
      <c r="X776" s="69"/>
      <c r="AF776" s="69"/>
      <c r="AK776" s="69"/>
      <c r="AM776" s="69"/>
      <c r="AS776" s="69"/>
      <c r="AU776" s="3"/>
      <c r="AV776" s="69"/>
      <c r="AZ776" s="30"/>
    </row>
    <row r="777">
      <c r="C777" s="3"/>
      <c r="D777" s="69"/>
      <c r="H777" s="69"/>
      <c r="O777" s="49"/>
      <c r="P777" s="69"/>
      <c r="S777" s="69"/>
      <c r="X777" s="69"/>
      <c r="AF777" s="69"/>
      <c r="AK777" s="69"/>
      <c r="AM777" s="69"/>
      <c r="AS777" s="69"/>
      <c r="AU777" s="3"/>
      <c r="AV777" s="69"/>
      <c r="AZ777" s="30"/>
    </row>
    <row r="778">
      <c r="C778" s="3"/>
      <c r="D778" s="69"/>
      <c r="H778" s="69"/>
      <c r="O778" s="49"/>
      <c r="P778" s="69"/>
      <c r="S778" s="69"/>
      <c r="X778" s="69"/>
      <c r="AF778" s="69"/>
      <c r="AK778" s="69"/>
      <c r="AM778" s="69"/>
      <c r="AS778" s="69"/>
      <c r="AU778" s="3"/>
      <c r="AV778" s="69"/>
      <c r="AZ778" s="30"/>
    </row>
    <row r="779">
      <c r="C779" s="3"/>
      <c r="D779" s="69"/>
      <c r="H779" s="69"/>
      <c r="O779" s="49"/>
      <c r="P779" s="69"/>
      <c r="S779" s="69"/>
      <c r="X779" s="69"/>
      <c r="AF779" s="69"/>
      <c r="AK779" s="69"/>
      <c r="AM779" s="69"/>
      <c r="AS779" s="69"/>
      <c r="AU779" s="3"/>
      <c r="AV779" s="69"/>
      <c r="AZ779" s="30"/>
    </row>
    <row r="780">
      <c r="C780" s="3"/>
      <c r="D780" s="69"/>
      <c r="H780" s="69"/>
      <c r="O780" s="49"/>
      <c r="P780" s="69"/>
      <c r="S780" s="69"/>
      <c r="X780" s="69"/>
      <c r="AF780" s="69"/>
      <c r="AK780" s="69"/>
      <c r="AM780" s="69"/>
      <c r="AS780" s="69"/>
      <c r="AU780" s="3"/>
      <c r="AV780" s="69"/>
      <c r="AZ780" s="30"/>
    </row>
    <row r="781">
      <c r="C781" s="3"/>
      <c r="D781" s="69"/>
      <c r="H781" s="69"/>
      <c r="O781" s="49"/>
      <c r="P781" s="69"/>
      <c r="S781" s="69"/>
      <c r="X781" s="69"/>
      <c r="AF781" s="69"/>
      <c r="AK781" s="69"/>
      <c r="AM781" s="69"/>
      <c r="AS781" s="69"/>
      <c r="AU781" s="3"/>
      <c r="AV781" s="69"/>
      <c r="AZ781" s="30"/>
    </row>
    <row r="782">
      <c r="C782" s="3"/>
      <c r="D782" s="69"/>
      <c r="H782" s="69"/>
      <c r="O782" s="49"/>
      <c r="P782" s="69"/>
      <c r="S782" s="69"/>
      <c r="X782" s="69"/>
      <c r="AF782" s="69"/>
      <c r="AK782" s="69"/>
      <c r="AM782" s="69"/>
      <c r="AS782" s="69"/>
      <c r="AU782" s="3"/>
      <c r="AV782" s="69"/>
      <c r="AZ782" s="30"/>
    </row>
    <row r="783">
      <c r="C783" s="3"/>
      <c r="D783" s="69"/>
      <c r="H783" s="69"/>
      <c r="O783" s="49"/>
      <c r="P783" s="69"/>
      <c r="S783" s="69"/>
      <c r="X783" s="69"/>
      <c r="AF783" s="69"/>
      <c r="AK783" s="69"/>
      <c r="AM783" s="69"/>
      <c r="AS783" s="69"/>
      <c r="AU783" s="3"/>
      <c r="AV783" s="69"/>
      <c r="AZ783" s="30"/>
    </row>
    <row r="784">
      <c r="C784" s="3"/>
      <c r="D784" s="69"/>
      <c r="H784" s="69"/>
      <c r="O784" s="49"/>
      <c r="P784" s="69"/>
      <c r="S784" s="69"/>
      <c r="X784" s="69"/>
      <c r="AF784" s="69"/>
      <c r="AK784" s="69"/>
      <c r="AM784" s="69"/>
      <c r="AS784" s="69"/>
      <c r="AU784" s="3"/>
      <c r="AV784" s="69"/>
      <c r="AZ784" s="30"/>
    </row>
    <row r="785">
      <c r="C785" s="3"/>
      <c r="D785" s="69"/>
      <c r="H785" s="69"/>
      <c r="O785" s="49"/>
      <c r="P785" s="69"/>
      <c r="S785" s="69"/>
      <c r="X785" s="69"/>
      <c r="AF785" s="69"/>
      <c r="AK785" s="69"/>
      <c r="AM785" s="69"/>
      <c r="AS785" s="69"/>
      <c r="AU785" s="3"/>
      <c r="AV785" s="69"/>
      <c r="AZ785" s="30"/>
    </row>
    <row r="786">
      <c r="C786" s="3"/>
      <c r="D786" s="69"/>
      <c r="H786" s="69"/>
      <c r="O786" s="49"/>
      <c r="P786" s="69"/>
      <c r="S786" s="69"/>
      <c r="X786" s="69"/>
      <c r="AF786" s="69"/>
      <c r="AK786" s="69"/>
      <c r="AM786" s="69"/>
      <c r="AS786" s="69"/>
      <c r="AU786" s="3"/>
      <c r="AV786" s="69"/>
      <c r="AZ786" s="30"/>
    </row>
    <row r="787">
      <c r="C787" s="3"/>
      <c r="D787" s="69"/>
      <c r="H787" s="69"/>
      <c r="O787" s="49"/>
      <c r="P787" s="69"/>
      <c r="S787" s="69"/>
      <c r="X787" s="69"/>
      <c r="AF787" s="69"/>
      <c r="AK787" s="69"/>
      <c r="AM787" s="69"/>
      <c r="AS787" s="69"/>
      <c r="AU787" s="3"/>
      <c r="AV787" s="69"/>
      <c r="AZ787" s="30"/>
    </row>
    <row r="788">
      <c r="C788" s="3"/>
      <c r="D788" s="69"/>
      <c r="H788" s="69"/>
      <c r="O788" s="49"/>
      <c r="P788" s="69"/>
      <c r="S788" s="69"/>
      <c r="X788" s="69"/>
      <c r="AF788" s="69"/>
      <c r="AK788" s="69"/>
      <c r="AM788" s="69"/>
      <c r="AS788" s="69"/>
      <c r="AU788" s="3"/>
      <c r="AV788" s="69"/>
      <c r="AZ788" s="30"/>
    </row>
    <row r="789">
      <c r="C789" s="3"/>
      <c r="D789" s="69"/>
      <c r="H789" s="69"/>
      <c r="O789" s="49"/>
      <c r="P789" s="69"/>
      <c r="S789" s="69"/>
      <c r="X789" s="69"/>
      <c r="AF789" s="69"/>
      <c r="AK789" s="69"/>
      <c r="AM789" s="69"/>
      <c r="AS789" s="69"/>
      <c r="AU789" s="3"/>
      <c r="AV789" s="69"/>
      <c r="AZ789" s="30"/>
    </row>
    <row r="790">
      <c r="C790" s="3"/>
      <c r="D790" s="69"/>
      <c r="H790" s="69"/>
      <c r="O790" s="49"/>
      <c r="P790" s="69"/>
      <c r="S790" s="69"/>
      <c r="X790" s="69"/>
      <c r="AF790" s="69"/>
      <c r="AK790" s="69"/>
      <c r="AM790" s="69"/>
      <c r="AS790" s="69"/>
      <c r="AU790" s="3"/>
      <c r="AV790" s="69"/>
      <c r="AZ790" s="30"/>
    </row>
    <row r="791">
      <c r="C791" s="3"/>
      <c r="D791" s="69"/>
      <c r="H791" s="69"/>
      <c r="O791" s="49"/>
      <c r="P791" s="69"/>
      <c r="S791" s="69"/>
      <c r="X791" s="69"/>
      <c r="AF791" s="69"/>
      <c r="AK791" s="69"/>
      <c r="AM791" s="69"/>
      <c r="AS791" s="69"/>
      <c r="AU791" s="3"/>
      <c r="AV791" s="69"/>
      <c r="AZ791" s="30"/>
    </row>
    <row r="792">
      <c r="C792" s="3"/>
      <c r="D792" s="69"/>
      <c r="H792" s="69"/>
      <c r="O792" s="49"/>
      <c r="P792" s="69"/>
      <c r="S792" s="69"/>
      <c r="X792" s="69"/>
      <c r="AF792" s="69"/>
      <c r="AK792" s="69"/>
      <c r="AM792" s="69"/>
      <c r="AS792" s="69"/>
      <c r="AU792" s="3"/>
      <c r="AV792" s="69"/>
      <c r="AZ792" s="30"/>
    </row>
    <row r="793">
      <c r="C793" s="3"/>
      <c r="D793" s="69"/>
      <c r="H793" s="69"/>
      <c r="O793" s="49"/>
      <c r="P793" s="69"/>
      <c r="S793" s="69"/>
      <c r="X793" s="69"/>
      <c r="AF793" s="69"/>
      <c r="AK793" s="69"/>
      <c r="AM793" s="69"/>
      <c r="AS793" s="69"/>
      <c r="AU793" s="3"/>
      <c r="AV793" s="69"/>
      <c r="AZ793" s="30"/>
    </row>
    <row r="794">
      <c r="C794" s="3"/>
      <c r="D794" s="69"/>
      <c r="H794" s="69"/>
      <c r="O794" s="49"/>
      <c r="P794" s="69"/>
      <c r="S794" s="69"/>
      <c r="X794" s="69"/>
      <c r="AF794" s="69"/>
      <c r="AK794" s="69"/>
      <c r="AM794" s="69"/>
      <c r="AS794" s="69"/>
      <c r="AU794" s="3"/>
      <c r="AV794" s="69"/>
      <c r="AZ794" s="30"/>
    </row>
    <row r="795">
      <c r="C795" s="3"/>
      <c r="D795" s="69"/>
      <c r="H795" s="69"/>
      <c r="O795" s="49"/>
      <c r="P795" s="69"/>
      <c r="S795" s="69"/>
      <c r="X795" s="69"/>
      <c r="AF795" s="69"/>
      <c r="AK795" s="69"/>
      <c r="AM795" s="69"/>
      <c r="AS795" s="69"/>
      <c r="AU795" s="3"/>
      <c r="AV795" s="69"/>
      <c r="AZ795" s="30"/>
    </row>
    <row r="796">
      <c r="C796" s="3"/>
      <c r="D796" s="69"/>
      <c r="H796" s="69"/>
      <c r="O796" s="49"/>
      <c r="P796" s="69"/>
      <c r="S796" s="69"/>
      <c r="X796" s="69"/>
      <c r="AF796" s="69"/>
      <c r="AK796" s="69"/>
      <c r="AM796" s="69"/>
      <c r="AS796" s="69"/>
      <c r="AU796" s="3"/>
      <c r="AV796" s="69"/>
      <c r="AZ796" s="30"/>
    </row>
    <row r="797">
      <c r="C797" s="3"/>
      <c r="D797" s="69"/>
      <c r="H797" s="69"/>
      <c r="O797" s="49"/>
      <c r="P797" s="69"/>
      <c r="S797" s="69"/>
      <c r="X797" s="69"/>
      <c r="AF797" s="69"/>
      <c r="AK797" s="69"/>
      <c r="AM797" s="69"/>
      <c r="AS797" s="69"/>
      <c r="AU797" s="3"/>
      <c r="AV797" s="69"/>
      <c r="AZ797" s="30"/>
    </row>
    <row r="798">
      <c r="C798" s="3"/>
      <c r="D798" s="69"/>
      <c r="H798" s="69"/>
      <c r="O798" s="49"/>
      <c r="P798" s="69"/>
      <c r="S798" s="69"/>
      <c r="X798" s="69"/>
      <c r="AF798" s="69"/>
      <c r="AK798" s="69"/>
      <c r="AM798" s="69"/>
      <c r="AS798" s="69"/>
      <c r="AU798" s="3"/>
      <c r="AV798" s="69"/>
      <c r="AZ798" s="30"/>
    </row>
    <row r="799">
      <c r="C799" s="3"/>
      <c r="D799" s="69"/>
      <c r="H799" s="69"/>
      <c r="O799" s="49"/>
      <c r="P799" s="69"/>
      <c r="S799" s="69"/>
      <c r="X799" s="69"/>
      <c r="AF799" s="69"/>
      <c r="AK799" s="69"/>
      <c r="AM799" s="69"/>
      <c r="AS799" s="69"/>
      <c r="AU799" s="3"/>
      <c r="AV799" s="69"/>
      <c r="AZ799" s="30"/>
    </row>
    <row r="800">
      <c r="C800" s="3"/>
      <c r="D800" s="69"/>
      <c r="H800" s="69"/>
      <c r="O800" s="49"/>
      <c r="P800" s="69"/>
      <c r="S800" s="69"/>
      <c r="X800" s="69"/>
      <c r="AF800" s="69"/>
      <c r="AK800" s="69"/>
      <c r="AM800" s="69"/>
      <c r="AS800" s="69"/>
      <c r="AU800" s="3"/>
      <c r="AV800" s="69"/>
      <c r="AZ800" s="30"/>
    </row>
    <row r="801">
      <c r="C801" s="3"/>
      <c r="D801" s="69"/>
      <c r="H801" s="69"/>
      <c r="O801" s="49"/>
      <c r="P801" s="69"/>
      <c r="S801" s="69"/>
      <c r="X801" s="69"/>
      <c r="AF801" s="69"/>
      <c r="AK801" s="69"/>
      <c r="AM801" s="69"/>
      <c r="AS801" s="69"/>
      <c r="AU801" s="3"/>
      <c r="AV801" s="69"/>
      <c r="AZ801" s="30"/>
    </row>
    <row r="802">
      <c r="C802" s="3"/>
      <c r="D802" s="69"/>
      <c r="H802" s="69"/>
      <c r="O802" s="49"/>
      <c r="P802" s="69"/>
      <c r="S802" s="69"/>
      <c r="X802" s="69"/>
      <c r="AF802" s="69"/>
      <c r="AK802" s="69"/>
      <c r="AM802" s="69"/>
      <c r="AS802" s="69"/>
      <c r="AU802" s="3"/>
      <c r="AV802" s="69"/>
      <c r="AZ802" s="30"/>
    </row>
    <row r="803">
      <c r="C803" s="3"/>
      <c r="D803" s="69"/>
      <c r="H803" s="69"/>
      <c r="O803" s="49"/>
      <c r="P803" s="69"/>
      <c r="S803" s="69"/>
      <c r="X803" s="69"/>
      <c r="AF803" s="69"/>
      <c r="AK803" s="69"/>
      <c r="AM803" s="69"/>
      <c r="AS803" s="69"/>
      <c r="AU803" s="3"/>
      <c r="AV803" s="69"/>
      <c r="AZ803" s="30"/>
    </row>
    <row r="804">
      <c r="C804" s="3"/>
      <c r="D804" s="69"/>
      <c r="H804" s="69"/>
      <c r="O804" s="49"/>
      <c r="P804" s="69"/>
      <c r="S804" s="69"/>
      <c r="X804" s="69"/>
      <c r="AF804" s="69"/>
      <c r="AK804" s="69"/>
      <c r="AM804" s="69"/>
      <c r="AS804" s="69"/>
      <c r="AU804" s="3"/>
      <c r="AV804" s="69"/>
      <c r="AZ804" s="30"/>
    </row>
    <row r="805">
      <c r="C805" s="3"/>
      <c r="D805" s="69"/>
      <c r="H805" s="69"/>
      <c r="O805" s="49"/>
      <c r="P805" s="69"/>
      <c r="S805" s="69"/>
      <c r="X805" s="69"/>
      <c r="AF805" s="69"/>
      <c r="AK805" s="69"/>
      <c r="AM805" s="69"/>
      <c r="AS805" s="69"/>
      <c r="AU805" s="3"/>
      <c r="AV805" s="69"/>
      <c r="AZ805" s="30"/>
    </row>
    <row r="806">
      <c r="C806" s="3"/>
      <c r="D806" s="69"/>
      <c r="H806" s="69"/>
      <c r="O806" s="49"/>
      <c r="P806" s="69"/>
      <c r="S806" s="69"/>
      <c r="X806" s="69"/>
      <c r="AF806" s="69"/>
      <c r="AK806" s="69"/>
      <c r="AM806" s="69"/>
      <c r="AS806" s="69"/>
      <c r="AU806" s="3"/>
      <c r="AV806" s="69"/>
      <c r="AZ806" s="30"/>
    </row>
    <row r="807">
      <c r="C807" s="3"/>
      <c r="D807" s="69"/>
      <c r="H807" s="69"/>
      <c r="O807" s="49"/>
      <c r="P807" s="69"/>
      <c r="S807" s="69"/>
      <c r="X807" s="69"/>
      <c r="AF807" s="69"/>
      <c r="AK807" s="69"/>
      <c r="AM807" s="69"/>
      <c r="AS807" s="69"/>
      <c r="AU807" s="3"/>
      <c r="AV807" s="69"/>
      <c r="AZ807" s="30"/>
    </row>
    <row r="808">
      <c r="C808" s="3"/>
      <c r="D808" s="69"/>
      <c r="H808" s="69"/>
      <c r="O808" s="49"/>
      <c r="P808" s="69"/>
      <c r="S808" s="69"/>
      <c r="X808" s="69"/>
      <c r="AF808" s="69"/>
      <c r="AK808" s="69"/>
      <c r="AM808" s="69"/>
      <c r="AS808" s="69"/>
      <c r="AU808" s="3"/>
      <c r="AV808" s="69"/>
      <c r="AZ808" s="30"/>
    </row>
    <row r="809">
      <c r="C809" s="3"/>
      <c r="D809" s="69"/>
      <c r="H809" s="69"/>
      <c r="O809" s="49"/>
      <c r="P809" s="69"/>
      <c r="S809" s="69"/>
      <c r="X809" s="69"/>
      <c r="AF809" s="69"/>
      <c r="AK809" s="69"/>
      <c r="AM809" s="69"/>
      <c r="AS809" s="69"/>
      <c r="AU809" s="3"/>
      <c r="AV809" s="69"/>
      <c r="AZ809" s="30"/>
    </row>
    <row r="810">
      <c r="C810" s="3"/>
      <c r="D810" s="69"/>
      <c r="H810" s="69"/>
      <c r="O810" s="49"/>
      <c r="P810" s="69"/>
      <c r="S810" s="69"/>
      <c r="X810" s="69"/>
      <c r="AF810" s="69"/>
      <c r="AK810" s="69"/>
      <c r="AM810" s="69"/>
      <c r="AS810" s="69"/>
      <c r="AU810" s="3"/>
      <c r="AV810" s="69"/>
      <c r="AZ810" s="30"/>
    </row>
    <row r="811">
      <c r="C811" s="3"/>
      <c r="D811" s="69"/>
      <c r="H811" s="69"/>
      <c r="O811" s="49"/>
      <c r="P811" s="69"/>
      <c r="S811" s="69"/>
      <c r="X811" s="69"/>
      <c r="AF811" s="69"/>
      <c r="AK811" s="69"/>
      <c r="AM811" s="69"/>
      <c r="AS811" s="69"/>
      <c r="AU811" s="3"/>
      <c r="AV811" s="69"/>
      <c r="AZ811" s="30"/>
    </row>
    <row r="812">
      <c r="C812" s="3"/>
      <c r="D812" s="69"/>
      <c r="H812" s="69"/>
      <c r="O812" s="49"/>
      <c r="P812" s="69"/>
      <c r="S812" s="69"/>
      <c r="X812" s="69"/>
      <c r="AF812" s="69"/>
      <c r="AK812" s="69"/>
      <c r="AM812" s="69"/>
      <c r="AS812" s="69"/>
      <c r="AU812" s="3"/>
      <c r="AV812" s="69"/>
      <c r="AZ812" s="30"/>
    </row>
    <row r="813">
      <c r="C813" s="3"/>
      <c r="D813" s="69"/>
      <c r="H813" s="69"/>
      <c r="O813" s="49"/>
      <c r="P813" s="69"/>
      <c r="S813" s="69"/>
      <c r="X813" s="69"/>
      <c r="AF813" s="69"/>
      <c r="AK813" s="69"/>
      <c r="AM813" s="69"/>
      <c r="AS813" s="69"/>
      <c r="AU813" s="3"/>
      <c r="AV813" s="69"/>
      <c r="AZ813" s="30"/>
    </row>
    <row r="814">
      <c r="C814" s="3"/>
      <c r="D814" s="69"/>
      <c r="H814" s="69"/>
      <c r="O814" s="49"/>
      <c r="P814" s="69"/>
      <c r="S814" s="69"/>
      <c r="X814" s="69"/>
      <c r="AF814" s="69"/>
      <c r="AK814" s="69"/>
      <c r="AM814" s="69"/>
      <c r="AS814" s="69"/>
      <c r="AU814" s="3"/>
      <c r="AV814" s="69"/>
      <c r="AZ814" s="30"/>
    </row>
    <row r="815">
      <c r="C815" s="3"/>
      <c r="D815" s="69"/>
      <c r="H815" s="69"/>
      <c r="O815" s="49"/>
      <c r="P815" s="69"/>
      <c r="S815" s="69"/>
      <c r="X815" s="69"/>
      <c r="AF815" s="69"/>
      <c r="AK815" s="69"/>
      <c r="AM815" s="69"/>
      <c r="AS815" s="69"/>
      <c r="AU815" s="3"/>
      <c r="AV815" s="69"/>
      <c r="AZ815" s="30"/>
    </row>
    <row r="816">
      <c r="C816" s="3"/>
      <c r="D816" s="69"/>
      <c r="H816" s="69"/>
      <c r="O816" s="49"/>
      <c r="P816" s="69"/>
      <c r="S816" s="69"/>
      <c r="X816" s="69"/>
      <c r="AF816" s="69"/>
      <c r="AK816" s="69"/>
      <c r="AM816" s="69"/>
      <c r="AS816" s="69"/>
      <c r="AU816" s="3"/>
      <c r="AV816" s="69"/>
      <c r="AZ816" s="30"/>
    </row>
    <row r="817">
      <c r="C817" s="3"/>
      <c r="D817" s="69"/>
      <c r="H817" s="69"/>
      <c r="O817" s="49"/>
      <c r="P817" s="69"/>
      <c r="S817" s="69"/>
      <c r="X817" s="69"/>
      <c r="AF817" s="69"/>
      <c r="AK817" s="69"/>
      <c r="AM817" s="69"/>
      <c r="AS817" s="69"/>
      <c r="AU817" s="3"/>
      <c r="AV817" s="69"/>
      <c r="AZ817" s="30"/>
    </row>
    <row r="818">
      <c r="C818" s="3"/>
      <c r="D818" s="69"/>
      <c r="H818" s="69"/>
      <c r="O818" s="49"/>
      <c r="P818" s="69"/>
      <c r="S818" s="69"/>
      <c r="X818" s="69"/>
      <c r="AF818" s="69"/>
      <c r="AK818" s="69"/>
      <c r="AM818" s="69"/>
      <c r="AS818" s="69"/>
      <c r="AU818" s="3"/>
      <c r="AV818" s="69"/>
      <c r="AZ818" s="30"/>
    </row>
    <row r="819">
      <c r="C819" s="3"/>
      <c r="D819" s="69"/>
      <c r="H819" s="69"/>
      <c r="O819" s="49"/>
      <c r="P819" s="69"/>
      <c r="S819" s="69"/>
      <c r="X819" s="69"/>
      <c r="AF819" s="69"/>
      <c r="AK819" s="69"/>
      <c r="AM819" s="69"/>
      <c r="AS819" s="69"/>
      <c r="AU819" s="3"/>
      <c r="AV819" s="69"/>
      <c r="AZ819" s="30"/>
    </row>
    <row r="820">
      <c r="C820" s="3"/>
      <c r="D820" s="69"/>
      <c r="H820" s="69"/>
      <c r="O820" s="49"/>
      <c r="P820" s="69"/>
      <c r="S820" s="69"/>
      <c r="X820" s="69"/>
      <c r="AF820" s="69"/>
      <c r="AK820" s="69"/>
      <c r="AM820" s="69"/>
      <c r="AS820" s="69"/>
      <c r="AU820" s="3"/>
      <c r="AV820" s="69"/>
      <c r="AZ820" s="30"/>
    </row>
    <row r="821">
      <c r="C821" s="3"/>
      <c r="D821" s="69"/>
      <c r="H821" s="69"/>
      <c r="O821" s="49"/>
      <c r="P821" s="69"/>
      <c r="S821" s="69"/>
      <c r="X821" s="69"/>
      <c r="AF821" s="69"/>
      <c r="AK821" s="69"/>
      <c r="AM821" s="69"/>
      <c r="AS821" s="69"/>
      <c r="AU821" s="3"/>
      <c r="AV821" s="69"/>
      <c r="AZ821" s="30"/>
    </row>
    <row r="822">
      <c r="C822" s="3"/>
      <c r="D822" s="69"/>
      <c r="H822" s="69"/>
      <c r="O822" s="49"/>
      <c r="P822" s="69"/>
      <c r="S822" s="69"/>
      <c r="X822" s="69"/>
      <c r="AF822" s="69"/>
      <c r="AK822" s="69"/>
      <c r="AM822" s="69"/>
      <c r="AS822" s="69"/>
      <c r="AU822" s="3"/>
      <c r="AV822" s="69"/>
      <c r="AZ822" s="30"/>
    </row>
    <row r="823">
      <c r="C823" s="3"/>
      <c r="D823" s="69"/>
      <c r="H823" s="69"/>
      <c r="O823" s="49"/>
      <c r="P823" s="69"/>
      <c r="S823" s="69"/>
      <c r="X823" s="69"/>
      <c r="AF823" s="69"/>
      <c r="AK823" s="69"/>
      <c r="AM823" s="69"/>
      <c r="AS823" s="69"/>
      <c r="AU823" s="3"/>
      <c r="AV823" s="69"/>
      <c r="AZ823" s="30"/>
    </row>
    <row r="824">
      <c r="C824" s="3"/>
      <c r="D824" s="69"/>
      <c r="H824" s="69"/>
      <c r="O824" s="49"/>
      <c r="P824" s="69"/>
      <c r="S824" s="69"/>
      <c r="X824" s="69"/>
      <c r="AF824" s="69"/>
      <c r="AK824" s="69"/>
      <c r="AM824" s="69"/>
      <c r="AS824" s="69"/>
      <c r="AU824" s="3"/>
      <c r="AV824" s="69"/>
      <c r="AZ824" s="30"/>
    </row>
    <row r="825">
      <c r="C825" s="3"/>
      <c r="D825" s="69"/>
      <c r="H825" s="69"/>
      <c r="O825" s="49"/>
      <c r="P825" s="69"/>
      <c r="S825" s="69"/>
      <c r="X825" s="69"/>
      <c r="AF825" s="69"/>
      <c r="AK825" s="69"/>
      <c r="AM825" s="69"/>
      <c r="AS825" s="69"/>
      <c r="AU825" s="3"/>
      <c r="AV825" s="69"/>
      <c r="AZ825" s="30"/>
    </row>
    <row r="826">
      <c r="C826" s="3"/>
      <c r="D826" s="69"/>
      <c r="H826" s="69"/>
      <c r="O826" s="49"/>
      <c r="P826" s="69"/>
      <c r="S826" s="69"/>
      <c r="X826" s="69"/>
      <c r="AF826" s="69"/>
      <c r="AK826" s="69"/>
      <c r="AM826" s="69"/>
      <c r="AS826" s="69"/>
      <c r="AU826" s="3"/>
      <c r="AV826" s="69"/>
      <c r="AZ826" s="30"/>
    </row>
    <row r="827">
      <c r="C827" s="3"/>
      <c r="D827" s="69"/>
      <c r="H827" s="69"/>
      <c r="O827" s="49"/>
      <c r="P827" s="69"/>
      <c r="S827" s="69"/>
      <c r="X827" s="69"/>
      <c r="AF827" s="69"/>
      <c r="AK827" s="69"/>
      <c r="AM827" s="69"/>
      <c r="AS827" s="69"/>
      <c r="AU827" s="3"/>
      <c r="AV827" s="69"/>
      <c r="AZ827" s="30"/>
    </row>
    <row r="828">
      <c r="C828" s="3"/>
      <c r="D828" s="69"/>
      <c r="H828" s="69"/>
      <c r="O828" s="49"/>
      <c r="P828" s="69"/>
      <c r="S828" s="69"/>
      <c r="X828" s="69"/>
      <c r="AF828" s="69"/>
      <c r="AK828" s="69"/>
      <c r="AM828" s="69"/>
      <c r="AS828" s="69"/>
      <c r="AU828" s="3"/>
      <c r="AV828" s="69"/>
      <c r="AZ828" s="30"/>
    </row>
    <row r="829">
      <c r="C829" s="3"/>
      <c r="D829" s="69"/>
      <c r="H829" s="69"/>
      <c r="O829" s="49"/>
      <c r="P829" s="69"/>
      <c r="S829" s="69"/>
      <c r="X829" s="69"/>
      <c r="AF829" s="69"/>
      <c r="AK829" s="69"/>
      <c r="AM829" s="69"/>
      <c r="AS829" s="69"/>
      <c r="AU829" s="3"/>
      <c r="AV829" s="69"/>
      <c r="AZ829" s="30"/>
    </row>
    <row r="830">
      <c r="C830" s="3"/>
      <c r="D830" s="69"/>
      <c r="H830" s="69"/>
      <c r="O830" s="49"/>
      <c r="P830" s="69"/>
      <c r="S830" s="69"/>
      <c r="X830" s="69"/>
      <c r="AF830" s="69"/>
      <c r="AK830" s="69"/>
      <c r="AM830" s="69"/>
      <c r="AS830" s="69"/>
      <c r="AU830" s="3"/>
      <c r="AV830" s="69"/>
      <c r="AZ830" s="30"/>
    </row>
    <row r="831">
      <c r="C831" s="3"/>
      <c r="D831" s="69"/>
      <c r="H831" s="69"/>
      <c r="O831" s="49"/>
      <c r="P831" s="69"/>
      <c r="S831" s="69"/>
      <c r="X831" s="69"/>
      <c r="AF831" s="69"/>
      <c r="AK831" s="69"/>
      <c r="AM831" s="69"/>
      <c r="AS831" s="69"/>
      <c r="AU831" s="3"/>
      <c r="AV831" s="69"/>
      <c r="AZ831" s="30"/>
    </row>
    <row r="832">
      <c r="C832" s="3"/>
      <c r="D832" s="69"/>
      <c r="H832" s="69"/>
      <c r="O832" s="49"/>
      <c r="P832" s="69"/>
      <c r="S832" s="69"/>
      <c r="X832" s="69"/>
      <c r="AF832" s="69"/>
      <c r="AK832" s="69"/>
      <c r="AM832" s="69"/>
      <c r="AS832" s="69"/>
      <c r="AU832" s="3"/>
      <c r="AV832" s="69"/>
      <c r="AZ832" s="30"/>
    </row>
    <row r="833">
      <c r="C833" s="3"/>
      <c r="D833" s="69"/>
      <c r="H833" s="69"/>
      <c r="O833" s="49"/>
      <c r="P833" s="69"/>
      <c r="S833" s="69"/>
      <c r="X833" s="69"/>
      <c r="AF833" s="69"/>
      <c r="AK833" s="69"/>
      <c r="AM833" s="69"/>
      <c r="AS833" s="69"/>
      <c r="AU833" s="3"/>
      <c r="AV833" s="69"/>
      <c r="AZ833" s="30"/>
    </row>
    <row r="834">
      <c r="C834" s="3"/>
      <c r="D834" s="69"/>
      <c r="H834" s="69"/>
      <c r="O834" s="49"/>
      <c r="P834" s="69"/>
      <c r="S834" s="69"/>
      <c r="X834" s="69"/>
      <c r="AF834" s="69"/>
      <c r="AK834" s="69"/>
      <c r="AM834" s="69"/>
      <c r="AS834" s="69"/>
      <c r="AU834" s="3"/>
      <c r="AV834" s="69"/>
      <c r="AZ834" s="30"/>
    </row>
    <row r="835">
      <c r="C835" s="3"/>
      <c r="D835" s="69"/>
      <c r="H835" s="69"/>
      <c r="O835" s="49"/>
      <c r="P835" s="69"/>
      <c r="S835" s="69"/>
      <c r="X835" s="69"/>
      <c r="AF835" s="69"/>
      <c r="AK835" s="69"/>
      <c r="AM835" s="69"/>
      <c r="AS835" s="69"/>
      <c r="AU835" s="3"/>
      <c r="AV835" s="69"/>
      <c r="AZ835" s="30"/>
    </row>
    <row r="836">
      <c r="C836" s="3"/>
      <c r="D836" s="69"/>
      <c r="H836" s="69"/>
      <c r="O836" s="49"/>
      <c r="P836" s="69"/>
      <c r="S836" s="69"/>
      <c r="X836" s="69"/>
      <c r="AF836" s="69"/>
      <c r="AK836" s="69"/>
      <c r="AM836" s="69"/>
      <c r="AS836" s="69"/>
      <c r="AU836" s="3"/>
      <c r="AV836" s="69"/>
      <c r="AZ836" s="30"/>
    </row>
    <row r="837">
      <c r="C837" s="3"/>
      <c r="D837" s="69"/>
      <c r="H837" s="69"/>
      <c r="O837" s="49"/>
      <c r="P837" s="69"/>
      <c r="S837" s="69"/>
      <c r="X837" s="69"/>
      <c r="AF837" s="69"/>
      <c r="AK837" s="69"/>
      <c r="AM837" s="69"/>
      <c r="AS837" s="69"/>
      <c r="AU837" s="3"/>
      <c r="AV837" s="69"/>
      <c r="AZ837" s="30"/>
    </row>
    <row r="838">
      <c r="C838" s="3"/>
      <c r="D838" s="69"/>
      <c r="H838" s="69"/>
      <c r="O838" s="49"/>
      <c r="P838" s="69"/>
      <c r="S838" s="69"/>
      <c r="X838" s="69"/>
      <c r="AF838" s="69"/>
      <c r="AK838" s="69"/>
      <c r="AM838" s="69"/>
      <c r="AS838" s="69"/>
      <c r="AU838" s="3"/>
      <c r="AV838" s="69"/>
      <c r="AZ838" s="30"/>
    </row>
    <row r="839">
      <c r="C839" s="3"/>
      <c r="D839" s="69"/>
      <c r="H839" s="69"/>
      <c r="O839" s="49"/>
      <c r="P839" s="69"/>
      <c r="S839" s="69"/>
      <c r="X839" s="69"/>
      <c r="AF839" s="69"/>
      <c r="AK839" s="69"/>
      <c r="AM839" s="69"/>
      <c r="AS839" s="69"/>
      <c r="AU839" s="3"/>
      <c r="AV839" s="69"/>
      <c r="AZ839" s="30"/>
    </row>
    <row r="840">
      <c r="C840" s="3"/>
      <c r="D840" s="69"/>
      <c r="H840" s="69"/>
      <c r="O840" s="49"/>
      <c r="P840" s="69"/>
      <c r="S840" s="69"/>
      <c r="X840" s="69"/>
      <c r="AF840" s="69"/>
      <c r="AK840" s="69"/>
      <c r="AM840" s="69"/>
      <c r="AS840" s="69"/>
      <c r="AU840" s="3"/>
      <c r="AV840" s="69"/>
      <c r="AZ840" s="30"/>
    </row>
    <row r="841">
      <c r="C841" s="3"/>
      <c r="D841" s="69"/>
      <c r="H841" s="69"/>
      <c r="O841" s="49"/>
      <c r="P841" s="69"/>
      <c r="S841" s="69"/>
      <c r="X841" s="69"/>
      <c r="AF841" s="69"/>
      <c r="AK841" s="69"/>
      <c r="AM841" s="69"/>
      <c r="AS841" s="69"/>
      <c r="AU841" s="3"/>
      <c r="AV841" s="69"/>
      <c r="AZ841" s="30"/>
    </row>
    <row r="842">
      <c r="C842" s="3"/>
      <c r="D842" s="69"/>
      <c r="H842" s="69"/>
      <c r="O842" s="49"/>
      <c r="P842" s="69"/>
      <c r="S842" s="69"/>
      <c r="X842" s="69"/>
      <c r="AF842" s="69"/>
      <c r="AK842" s="69"/>
      <c r="AM842" s="69"/>
      <c r="AS842" s="69"/>
      <c r="AU842" s="3"/>
      <c r="AV842" s="69"/>
      <c r="AZ842" s="30"/>
    </row>
    <row r="843">
      <c r="C843" s="3"/>
      <c r="D843" s="69"/>
      <c r="H843" s="69"/>
      <c r="O843" s="49"/>
      <c r="P843" s="69"/>
      <c r="S843" s="69"/>
      <c r="X843" s="69"/>
      <c r="AF843" s="69"/>
      <c r="AK843" s="69"/>
      <c r="AM843" s="69"/>
      <c r="AS843" s="69"/>
      <c r="AU843" s="3"/>
      <c r="AV843" s="69"/>
      <c r="AZ843" s="30"/>
    </row>
    <row r="844">
      <c r="C844" s="3"/>
      <c r="D844" s="69"/>
      <c r="H844" s="69"/>
      <c r="O844" s="49"/>
      <c r="P844" s="69"/>
      <c r="S844" s="69"/>
      <c r="X844" s="69"/>
      <c r="AF844" s="69"/>
      <c r="AK844" s="69"/>
      <c r="AM844" s="69"/>
      <c r="AS844" s="69"/>
      <c r="AU844" s="3"/>
      <c r="AV844" s="69"/>
      <c r="AZ844" s="30"/>
    </row>
    <row r="845">
      <c r="C845" s="3"/>
      <c r="D845" s="69"/>
      <c r="H845" s="69"/>
      <c r="O845" s="49"/>
      <c r="P845" s="69"/>
      <c r="S845" s="69"/>
      <c r="X845" s="69"/>
      <c r="AF845" s="69"/>
      <c r="AK845" s="69"/>
      <c r="AM845" s="69"/>
      <c r="AS845" s="69"/>
      <c r="AU845" s="3"/>
      <c r="AV845" s="69"/>
      <c r="AZ845" s="30"/>
    </row>
    <row r="846">
      <c r="C846" s="3"/>
      <c r="D846" s="69"/>
      <c r="H846" s="69"/>
      <c r="O846" s="49"/>
      <c r="P846" s="69"/>
      <c r="S846" s="69"/>
      <c r="X846" s="69"/>
      <c r="AF846" s="69"/>
      <c r="AK846" s="69"/>
      <c r="AM846" s="69"/>
      <c r="AS846" s="69"/>
      <c r="AU846" s="3"/>
      <c r="AV846" s="69"/>
      <c r="AZ846" s="30"/>
    </row>
    <row r="847">
      <c r="C847" s="3"/>
      <c r="D847" s="69"/>
      <c r="H847" s="69"/>
      <c r="O847" s="49"/>
      <c r="P847" s="69"/>
      <c r="S847" s="69"/>
      <c r="X847" s="69"/>
      <c r="AF847" s="69"/>
      <c r="AK847" s="69"/>
      <c r="AM847" s="69"/>
      <c r="AS847" s="69"/>
      <c r="AU847" s="3"/>
      <c r="AV847" s="69"/>
      <c r="AZ847" s="30"/>
    </row>
    <row r="848">
      <c r="C848" s="3"/>
      <c r="D848" s="69"/>
      <c r="H848" s="69"/>
      <c r="O848" s="49"/>
      <c r="P848" s="69"/>
      <c r="S848" s="69"/>
      <c r="X848" s="69"/>
      <c r="AF848" s="69"/>
      <c r="AK848" s="69"/>
      <c r="AM848" s="69"/>
      <c r="AS848" s="69"/>
      <c r="AU848" s="3"/>
      <c r="AV848" s="69"/>
      <c r="AZ848" s="30"/>
    </row>
    <row r="849">
      <c r="C849" s="3"/>
      <c r="D849" s="69"/>
      <c r="H849" s="69"/>
      <c r="O849" s="49"/>
      <c r="P849" s="69"/>
      <c r="S849" s="69"/>
      <c r="X849" s="69"/>
      <c r="AF849" s="69"/>
      <c r="AK849" s="69"/>
      <c r="AM849" s="69"/>
      <c r="AS849" s="69"/>
      <c r="AU849" s="3"/>
      <c r="AV849" s="69"/>
      <c r="AZ849" s="30"/>
    </row>
    <row r="850">
      <c r="C850" s="3"/>
      <c r="D850" s="69"/>
      <c r="H850" s="69"/>
      <c r="O850" s="49"/>
      <c r="P850" s="69"/>
      <c r="S850" s="69"/>
      <c r="X850" s="69"/>
      <c r="AF850" s="69"/>
      <c r="AK850" s="69"/>
      <c r="AM850" s="69"/>
      <c r="AS850" s="69"/>
      <c r="AU850" s="3"/>
      <c r="AV850" s="69"/>
      <c r="AZ850" s="30"/>
    </row>
    <row r="851">
      <c r="C851" s="3"/>
      <c r="D851" s="69"/>
      <c r="H851" s="69"/>
      <c r="O851" s="49"/>
      <c r="P851" s="69"/>
      <c r="S851" s="69"/>
      <c r="X851" s="69"/>
      <c r="AF851" s="69"/>
      <c r="AK851" s="69"/>
      <c r="AM851" s="69"/>
      <c r="AS851" s="69"/>
      <c r="AU851" s="3"/>
      <c r="AV851" s="69"/>
      <c r="AZ851" s="30"/>
    </row>
    <row r="852">
      <c r="C852" s="3"/>
      <c r="D852" s="69"/>
      <c r="H852" s="69"/>
      <c r="O852" s="49"/>
      <c r="P852" s="69"/>
      <c r="S852" s="69"/>
      <c r="X852" s="69"/>
      <c r="AF852" s="69"/>
      <c r="AK852" s="69"/>
      <c r="AM852" s="69"/>
      <c r="AS852" s="69"/>
      <c r="AU852" s="3"/>
      <c r="AV852" s="69"/>
      <c r="AZ852" s="30"/>
    </row>
    <row r="853">
      <c r="C853" s="3"/>
      <c r="D853" s="69"/>
      <c r="H853" s="69"/>
      <c r="O853" s="49"/>
      <c r="P853" s="69"/>
      <c r="S853" s="69"/>
      <c r="X853" s="69"/>
      <c r="AF853" s="69"/>
      <c r="AK853" s="69"/>
      <c r="AM853" s="69"/>
      <c r="AS853" s="69"/>
      <c r="AU853" s="3"/>
      <c r="AV853" s="69"/>
      <c r="AZ853" s="30"/>
    </row>
    <row r="854">
      <c r="C854" s="3"/>
      <c r="D854" s="69"/>
      <c r="H854" s="69"/>
      <c r="O854" s="49"/>
      <c r="P854" s="69"/>
      <c r="S854" s="69"/>
      <c r="X854" s="69"/>
      <c r="AF854" s="69"/>
      <c r="AK854" s="69"/>
      <c r="AM854" s="69"/>
      <c r="AS854" s="69"/>
      <c r="AU854" s="3"/>
      <c r="AV854" s="69"/>
      <c r="AZ854" s="30"/>
    </row>
    <row r="855">
      <c r="C855" s="3"/>
      <c r="D855" s="69"/>
      <c r="H855" s="69"/>
      <c r="O855" s="49"/>
      <c r="P855" s="69"/>
      <c r="S855" s="69"/>
      <c r="X855" s="69"/>
      <c r="AF855" s="69"/>
      <c r="AK855" s="69"/>
      <c r="AM855" s="69"/>
      <c r="AS855" s="69"/>
      <c r="AU855" s="3"/>
      <c r="AV855" s="69"/>
      <c r="AZ855" s="30"/>
    </row>
    <row r="856">
      <c r="C856" s="3"/>
      <c r="D856" s="69"/>
      <c r="H856" s="69"/>
      <c r="O856" s="49"/>
      <c r="P856" s="69"/>
      <c r="S856" s="69"/>
      <c r="X856" s="69"/>
      <c r="AF856" s="69"/>
      <c r="AK856" s="69"/>
      <c r="AM856" s="69"/>
      <c r="AS856" s="69"/>
      <c r="AU856" s="3"/>
      <c r="AV856" s="69"/>
      <c r="AZ856" s="30"/>
    </row>
    <row r="857">
      <c r="C857" s="3"/>
      <c r="D857" s="69"/>
      <c r="H857" s="69"/>
      <c r="O857" s="49"/>
      <c r="P857" s="69"/>
      <c r="S857" s="69"/>
      <c r="X857" s="69"/>
      <c r="AF857" s="69"/>
      <c r="AK857" s="69"/>
      <c r="AM857" s="69"/>
      <c r="AS857" s="69"/>
      <c r="AU857" s="3"/>
      <c r="AV857" s="69"/>
      <c r="AZ857" s="30"/>
    </row>
    <row r="858">
      <c r="C858" s="3"/>
      <c r="D858" s="69"/>
      <c r="H858" s="69"/>
      <c r="O858" s="49"/>
      <c r="P858" s="69"/>
      <c r="S858" s="69"/>
      <c r="X858" s="69"/>
      <c r="AF858" s="69"/>
      <c r="AK858" s="69"/>
      <c r="AM858" s="69"/>
      <c r="AS858" s="69"/>
      <c r="AU858" s="3"/>
      <c r="AV858" s="69"/>
      <c r="AZ858" s="30"/>
    </row>
    <row r="859">
      <c r="C859" s="3"/>
      <c r="D859" s="69"/>
      <c r="H859" s="69"/>
      <c r="O859" s="49"/>
      <c r="P859" s="69"/>
      <c r="S859" s="69"/>
      <c r="X859" s="69"/>
      <c r="AF859" s="69"/>
      <c r="AK859" s="69"/>
      <c r="AM859" s="69"/>
      <c r="AS859" s="69"/>
      <c r="AU859" s="3"/>
      <c r="AV859" s="69"/>
      <c r="AZ859" s="30"/>
    </row>
    <row r="860">
      <c r="C860" s="3"/>
      <c r="D860" s="69"/>
      <c r="H860" s="69"/>
      <c r="O860" s="49"/>
      <c r="P860" s="69"/>
      <c r="S860" s="69"/>
      <c r="X860" s="69"/>
      <c r="AF860" s="69"/>
      <c r="AK860" s="69"/>
      <c r="AM860" s="69"/>
      <c r="AS860" s="69"/>
      <c r="AU860" s="3"/>
      <c r="AV860" s="69"/>
      <c r="AZ860" s="30"/>
    </row>
    <row r="861">
      <c r="C861" s="3"/>
      <c r="D861" s="69"/>
      <c r="H861" s="69"/>
      <c r="O861" s="49"/>
      <c r="P861" s="69"/>
      <c r="S861" s="69"/>
      <c r="X861" s="69"/>
      <c r="AF861" s="69"/>
      <c r="AK861" s="69"/>
      <c r="AM861" s="69"/>
      <c r="AS861" s="69"/>
      <c r="AU861" s="3"/>
      <c r="AV861" s="69"/>
      <c r="AZ861" s="30"/>
    </row>
    <row r="862">
      <c r="C862" s="3"/>
      <c r="D862" s="69"/>
      <c r="H862" s="69"/>
      <c r="O862" s="49"/>
      <c r="P862" s="69"/>
      <c r="S862" s="69"/>
      <c r="X862" s="69"/>
      <c r="AF862" s="69"/>
      <c r="AK862" s="69"/>
      <c r="AM862" s="69"/>
      <c r="AS862" s="69"/>
      <c r="AU862" s="3"/>
      <c r="AV862" s="69"/>
      <c r="AZ862" s="30"/>
    </row>
    <row r="863">
      <c r="C863" s="3"/>
      <c r="D863" s="69"/>
      <c r="H863" s="69"/>
      <c r="O863" s="49"/>
      <c r="P863" s="69"/>
      <c r="S863" s="69"/>
      <c r="X863" s="69"/>
      <c r="AF863" s="69"/>
      <c r="AK863" s="69"/>
      <c r="AM863" s="69"/>
      <c r="AS863" s="69"/>
      <c r="AU863" s="3"/>
      <c r="AV863" s="69"/>
      <c r="AZ863" s="30"/>
    </row>
    <row r="864">
      <c r="C864" s="3"/>
      <c r="D864" s="69"/>
      <c r="H864" s="69"/>
      <c r="O864" s="49"/>
      <c r="P864" s="69"/>
      <c r="S864" s="69"/>
      <c r="X864" s="69"/>
      <c r="AF864" s="69"/>
      <c r="AK864" s="69"/>
      <c r="AM864" s="69"/>
      <c r="AS864" s="69"/>
      <c r="AU864" s="3"/>
      <c r="AV864" s="69"/>
      <c r="AZ864" s="30"/>
    </row>
    <row r="865">
      <c r="C865" s="3"/>
      <c r="D865" s="69"/>
      <c r="H865" s="69"/>
      <c r="O865" s="49"/>
      <c r="P865" s="69"/>
      <c r="S865" s="69"/>
      <c r="X865" s="69"/>
      <c r="AF865" s="69"/>
      <c r="AK865" s="69"/>
      <c r="AM865" s="69"/>
      <c r="AS865" s="69"/>
      <c r="AU865" s="3"/>
      <c r="AV865" s="69"/>
      <c r="AZ865" s="30"/>
    </row>
    <row r="866">
      <c r="C866" s="3"/>
      <c r="D866" s="69"/>
      <c r="H866" s="69"/>
      <c r="O866" s="49"/>
      <c r="P866" s="69"/>
      <c r="S866" s="69"/>
      <c r="X866" s="69"/>
      <c r="AF866" s="69"/>
      <c r="AK866" s="69"/>
      <c r="AM866" s="69"/>
      <c r="AS866" s="69"/>
      <c r="AU866" s="3"/>
      <c r="AV866" s="69"/>
      <c r="AZ866" s="30"/>
    </row>
    <row r="867">
      <c r="C867" s="3"/>
      <c r="D867" s="69"/>
      <c r="H867" s="69"/>
      <c r="O867" s="49"/>
      <c r="P867" s="69"/>
      <c r="S867" s="69"/>
      <c r="X867" s="69"/>
      <c r="AF867" s="69"/>
      <c r="AK867" s="69"/>
      <c r="AM867" s="69"/>
      <c r="AS867" s="69"/>
      <c r="AU867" s="3"/>
      <c r="AV867" s="69"/>
      <c r="AZ867" s="30"/>
    </row>
    <row r="868">
      <c r="C868" s="3"/>
      <c r="D868" s="69"/>
      <c r="H868" s="69"/>
      <c r="O868" s="49"/>
      <c r="P868" s="69"/>
      <c r="S868" s="69"/>
      <c r="X868" s="69"/>
      <c r="AF868" s="69"/>
      <c r="AK868" s="69"/>
      <c r="AM868" s="69"/>
      <c r="AS868" s="69"/>
      <c r="AU868" s="3"/>
      <c r="AV868" s="69"/>
      <c r="AZ868" s="30"/>
    </row>
    <row r="869">
      <c r="C869" s="3"/>
      <c r="D869" s="69"/>
      <c r="H869" s="69"/>
      <c r="O869" s="49"/>
      <c r="P869" s="69"/>
      <c r="S869" s="69"/>
      <c r="X869" s="69"/>
      <c r="AF869" s="69"/>
      <c r="AK869" s="69"/>
      <c r="AM869" s="69"/>
      <c r="AS869" s="69"/>
      <c r="AU869" s="3"/>
      <c r="AV869" s="69"/>
      <c r="AZ869" s="30"/>
    </row>
    <row r="870">
      <c r="C870" s="3"/>
      <c r="D870" s="69"/>
      <c r="H870" s="69"/>
      <c r="O870" s="49"/>
      <c r="P870" s="69"/>
      <c r="S870" s="69"/>
      <c r="X870" s="69"/>
      <c r="AF870" s="69"/>
      <c r="AK870" s="69"/>
      <c r="AM870" s="69"/>
      <c r="AS870" s="69"/>
      <c r="AU870" s="3"/>
      <c r="AV870" s="69"/>
      <c r="AZ870" s="30"/>
    </row>
    <row r="871">
      <c r="C871" s="3"/>
      <c r="D871" s="69"/>
      <c r="H871" s="69"/>
      <c r="O871" s="49"/>
      <c r="P871" s="69"/>
      <c r="S871" s="69"/>
      <c r="X871" s="69"/>
      <c r="AF871" s="69"/>
      <c r="AK871" s="69"/>
      <c r="AM871" s="69"/>
      <c r="AS871" s="69"/>
      <c r="AU871" s="3"/>
      <c r="AV871" s="69"/>
      <c r="AZ871" s="30"/>
    </row>
    <row r="872">
      <c r="C872" s="3"/>
      <c r="D872" s="69"/>
      <c r="H872" s="69"/>
      <c r="O872" s="49"/>
      <c r="P872" s="69"/>
      <c r="S872" s="69"/>
      <c r="X872" s="69"/>
      <c r="AF872" s="69"/>
      <c r="AK872" s="69"/>
      <c r="AM872" s="69"/>
      <c r="AS872" s="69"/>
      <c r="AU872" s="3"/>
      <c r="AV872" s="69"/>
      <c r="AZ872" s="30"/>
    </row>
    <row r="873">
      <c r="C873" s="3"/>
      <c r="D873" s="69"/>
      <c r="H873" s="69"/>
      <c r="O873" s="49"/>
      <c r="P873" s="69"/>
      <c r="S873" s="69"/>
      <c r="X873" s="69"/>
      <c r="AF873" s="69"/>
      <c r="AK873" s="69"/>
      <c r="AM873" s="69"/>
      <c r="AS873" s="69"/>
      <c r="AU873" s="3"/>
      <c r="AV873" s="69"/>
      <c r="AZ873" s="30"/>
    </row>
    <row r="874">
      <c r="C874" s="3"/>
      <c r="D874" s="69"/>
      <c r="H874" s="69"/>
      <c r="O874" s="49"/>
      <c r="P874" s="69"/>
      <c r="S874" s="69"/>
      <c r="X874" s="69"/>
      <c r="AF874" s="69"/>
      <c r="AK874" s="69"/>
      <c r="AM874" s="69"/>
      <c r="AS874" s="69"/>
      <c r="AU874" s="3"/>
      <c r="AV874" s="69"/>
      <c r="AZ874" s="30"/>
    </row>
    <row r="875">
      <c r="C875" s="3"/>
      <c r="D875" s="69"/>
      <c r="H875" s="69"/>
      <c r="O875" s="49"/>
      <c r="P875" s="69"/>
      <c r="S875" s="69"/>
      <c r="X875" s="69"/>
      <c r="AF875" s="69"/>
      <c r="AK875" s="69"/>
      <c r="AM875" s="69"/>
      <c r="AS875" s="69"/>
      <c r="AU875" s="3"/>
      <c r="AV875" s="69"/>
      <c r="AZ875" s="30"/>
    </row>
    <row r="876">
      <c r="C876" s="3"/>
      <c r="D876" s="69"/>
      <c r="H876" s="69"/>
      <c r="O876" s="49"/>
      <c r="P876" s="69"/>
      <c r="S876" s="69"/>
      <c r="X876" s="69"/>
      <c r="AF876" s="69"/>
      <c r="AK876" s="69"/>
      <c r="AM876" s="69"/>
      <c r="AS876" s="69"/>
      <c r="AU876" s="3"/>
      <c r="AV876" s="69"/>
      <c r="AZ876" s="30"/>
    </row>
    <row r="877">
      <c r="C877" s="3"/>
      <c r="D877" s="69"/>
      <c r="H877" s="69"/>
      <c r="O877" s="49"/>
      <c r="P877" s="69"/>
      <c r="S877" s="69"/>
      <c r="X877" s="69"/>
      <c r="AF877" s="69"/>
      <c r="AK877" s="69"/>
      <c r="AM877" s="69"/>
      <c r="AS877" s="69"/>
      <c r="AU877" s="3"/>
      <c r="AV877" s="69"/>
      <c r="AZ877" s="30"/>
    </row>
    <row r="878">
      <c r="C878" s="3"/>
      <c r="D878" s="69"/>
      <c r="H878" s="69"/>
      <c r="O878" s="49"/>
      <c r="P878" s="69"/>
      <c r="S878" s="69"/>
      <c r="X878" s="69"/>
      <c r="AF878" s="69"/>
      <c r="AK878" s="69"/>
      <c r="AM878" s="69"/>
      <c r="AS878" s="69"/>
      <c r="AU878" s="3"/>
      <c r="AV878" s="69"/>
      <c r="AZ878" s="30"/>
    </row>
    <row r="879">
      <c r="C879" s="3"/>
      <c r="D879" s="69"/>
      <c r="H879" s="69"/>
      <c r="O879" s="49"/>
      <c r="P879" s="69"/>
      <c r="S879" s="69"/>
      <c r="X879" s="69"/>
      <c r="AF879" s="69"/>
      <c r="AK879" s="69"/>
      <c r="AM879" s="69"/>
      <c r="AS879" s="69"/>
      <c r="AU879" s="3"/>
      <c r="AV879" s="69"/>
      <c r="AZ879" s="30"/>
    </row>
    <row r="880">
      <c r="C880" s="3"/>
      <c r="D880" s="69"/>
      <c r="H880" s="69"/>
      <c r="O880" s="49"/>
      <c r="P880" s="69"/>
      <c r="S880" s="69"/>
      <c r="X880" s="69"/>
      <c r="AF880" s="69"/>
      <c r="AK880" s="69"/>
      <c r="AM880" s="69"/>
      <c r="AS880" s="69"/>
      <c r="AU880" s="3"/>
      <c r="AV880" s="69"/>
      <c r="AZ880" s="30"/>
    </row>
    <row r="881">
      <c r="C881" s="3"/>
      <c r="D881" s="69"/>
      <c r="H881" s="69"/>
      <c r="O881" s="49"/>
      <c r="P881" s="69"/>
      <c r="S881" s="69"/>
      <c r="X881" s="69"/>
      <c r="AF881" s="69"/>
      <c r="AK881" s="69"/>
      <c r="AM881" s="69"/>
      <c r="AS881" s="69"/>
      <c r="AU881" s="3"/>
      <c r="AV881" s="69"/>
      <c r="AZ881" s="30"/>
    </row>
    <row r="882">
      <c r="C882" s="3"/>
      <c r="D882" s="69"/>
      <c r="H882" s="69"/>
      <c r="O882" s="49"/>
      <c r="P882" s="69"/>
      <c r="S882" s="69"/>
      <c r="X882" s="69"/>
      <c r="AF882" s="69"/>
      <c r="AK882" s="69"/>
      <c r="AM882" s="69"/>
      <c r="AS882" s="69"/>
      <c r="AU882" s="3"/>
      <c r="AV882" s="69"/>
      <c r="AZ882" s="30"/>
    </row>
    <row r="883">
      <c r="C883" s="3"/>
      <c r="D883" s="69"/>
      <c r="H883" s="69"/>
      <c r="O883" s="49"/>
      <c r="P883" s="69"/>
      <c r="S883" s="69"/>
      <c r="X883" s="69"/>
      <c r="AF883" s="69"/>
      <c r="AK883" s="69"/>
      <c r="AM883" s="69"/>
      <c r="AS883" s="69"/>
      <c r="AU883" s="3"/>
      <c r="AV883" s="69"/>
      <c r="AZ883" s="30"/>
    </row>
    <row r="884">
      <c r="C884" s="3"/>
      <c r="D884" s="69"/>
      <c r="H884" s="69"/>
      <c r="O884" s="49"/>
      <c r="P884" s="69"/>
      <c r="S884" s="69"/>
      <c r="X884" s="69"/>
      <c r="AF884" s="69"/>
      <c r="AK884" s="69"/>
      <c r="AM884" s="69"/>
      <c r="AS884" s="69"/>
      <c r="AU884" s="3"/>
      <c r="AV884" s="69"/>
      <c r="AZ884" s="30"/>
    </row>
    <row r="885">
      <c r="C885" s="3"/>
      <c r="D885" s="69"/>
      <c r="H885" s="69"/>
      <c r="O885" s="49"/>
      <c r="P885" s="69"/>
      <c r="S885" s="69"/>
      <c r="X885" s="69"/>
      <c r="AF885" s="69"/>
      <c r="AK885" s="69"/>
      <c r="AM885" s="69"/>
      <c r="AS885" s="69"/>
      <c r="AU885" s="3"/>
      <c r="AV885" s="69"/>
      <c r="AZ885" s="30"/>
    </row>
    <row r="886">
      <c r="C886" s="3"/>
      <c r="D886" s="69"/>
      <c r="H886" s="69"/>
      <c r="O886" s="49"/>
      <c r="P886" s="69"/>
      <c r="S886" s="69"/>
      <c r="X886" s="69"/>
      <c r="AF886" s="69"/>
      <c r="AK886" s="69"/>
      <c r="AM886" s="69"/>
      <c r="AS886" s="69"/>
      <c r="AU886" s="3"/>
      <c r="AV886" s="69"/>
      <c r="AZ886" s="30"/>
    </row>
    <row r="887">
      <c r="C887" s="3"/>
      <c r="D887" s="69"/>
      <c r="H887" s="69"/>
      <c r="O887" s="49"/>
      <c r="P887" s="69"/>
      <c r="S887" s="69"/>
      <c r="X887" s="69"/>
      <c r="AF887" s="69"/>
      <c r="AK887" s="69"/>
      <c r="AM887" s="69"/>
      <c r="AS887" s="69"/>
      <c r="AU887" s="3"/>
      <c r="AV887" s="69"/>
      <c r="AZ887" s="30"/>
    </row>
    <row r="888">
      <c r="C888" s="3"/>
      <c r="D888" s="69"/>
      <c r="H888" s="69"/>
      <c r="O888" s="49"/>
      <c r="P888" s="69"/>
      <c r="S888" s="69"/>
      <c r="X888" s="69"/>
      <c r="AF888" s="69"/>
      <c r="AK888" s="69"/>
      <c r="AM888" s="69"/>
      <c r="AS888" s="69"/>
      <c r="AU888" s="3"/>
      <c r="AV888" s="69"/>
      <c r="AZ888" s="30"/>
    </row>
    <row r="889">
      <c r="C889" s="3"/>
      <c r="D889" s="69"/>
      <c r="H889" s="69"/>
      <c r="O889" s="49"/>
      <c r="P889" s="69"/>
      <c r="S889" s="69"/>
      <c r="X889" s="69"/>
      <c r="AF889" s="69"/>
      <c r="AK889" s="69"/>
      <c r="AM889" s="69"/>
      <c r="AS889" s="69"/>
      <c r="AU889" s="3"/>
      <c r="AV889" s="69"/>
      <c r="AZ889" s="30"/>
    </row>
    <row r="890">
      <c r="C890" s="3"/>
      <c r="D890" s="69"/>
      <c r="H890" s="69"/>
      <c r="O890" s="49"/>
      <c r="P890" s="69"/>
      <c r="S890" s="69"/>
      <c r="X890" s="69"/>
      <c r="AF890" s="69"/>
      <c r="AK890" s="69"/>
      <c r="AM890" s="69"/>
      <c r="AS890" s="69"/>
      <c r="AU890" s="3"/>
      <c r="AV890" s="69"/>
      <c r="AZ890" s="30"/>
    </row>
    <row r="891">
      <c r="C891" s="3"/>
      <c r="D891" s="69"/>
      <c r="H891" s="69"/>
      <c r="O891" s="49"/>
      <c r="P891" s="69"/>
      <c r="S891" s="69"/>
      <c r="X891" s="69"/>
      <c r="AF891" s="69"/>
      <c r="AK891" s="69"/>
      <c r="AM891" s="69"/>
      <c r="AS891" s="69"/>
      <c r="AU891" s="3"/>
      <c r="AV891" s="69"/>
      <c r="AZ891" s="30"/>
    </row>
    <row r="892">
      <c r="C892" s="3"/>
      <c r="D892" s="69"/>
      <c r="H892" s="69"/>
      <c r="O892" s="49"/>
      <c r="P892" s="69"/>
      <c r="S892" s="69"/>
      <c r="X892" s="69"/>
      <c r="AF892" s="69"/>
      <c r="AK892" s="69"/>
      <c r="AM892" s="69"/>
      <c r="AS892" s="69"/>
      <c r="AU892" s="3"/>
      <c r="AV892" s="69"/>
      <c r="AZ892" s="30"/>
    </row>
    <row r="893">
      <c r="C893" s="3"/>
      <c r="D893" s="69"/>
      <c r="H893" s="69"/>
      <c r="O893" s="49"/>
      <c r="P893" s="69"/>
      <c r="S893" s="69"/>
      <c r="X893" s="69"/>
      <c r="AF893" s="69"/>
      <c r="AK893" s="69"/>
      <c r="AM893" s="69"/>
      <c r="AS893" s="69"/>
      <c r="AU893" s="3"/>
      <c r="AV893" s="69"/>
      <c r="AZ893" s="30"/>
    </row>
    <row r="894">
      <c r="C894" s="3"/>
      <c r="D894" s="69"/>
      <c r="H894" s="69"/>
      <c r="O894" s="49"/>
      <c r="P894" s="69"/>
      <c r="S894" s="69"/>
      <c r="X894" s="69"/>
      <c r="AF894" s="69"/>
      <c r="AK894" s="69"/>
      <c r="AM894" s="69"/>
      <c r="AS894" s="69"/>
      <c r="AU894" s="3"/>
      <c r="AV894" s="69"/>
      <c r="AZ894" s="30"/>
    </row>
    <row r="895">
      <c r="C895" s="3"/>
      <c r="D895" s="69"/>
      <c r="H895" s="69"/>
      <c r="O895" s="49"/>
      <c r="P895" s="69"/>
      <c r="S895" s="69"/>
      <c r="X895" s="69"/>
      <c r="AF895" s="69"/>
      <c r="AK895" s="69"/>
      <c r="AM895" s="69"/>
      <c r="AS895" s="69"/>
      <c r="AU895" s="3"/>
      <c r="AV895" s="69"/>
      <c r="AZ895" s="30"/>
    </row>
    <row r="896">
      <c r="C896" s="3"/>
      <c r="D896" s="69"/>
      <c r="H896" s="69"/>
      <c r="O896" s="49"/>
      <c r="P896" s="69"/>
      <c r="S896" s="69"/>
      <c r="X896" s="69"/>
      <c r="AF896" s="69"/>
      <c r="AK896" s="69"/>
      <c r="AM896" s="69"/>
      <c r="AS896" s="69"/>
      <c r="AU896" s="3"/>
      <c r="AV896" s="69"/>
      <c r="AZ896" s="30"/>
    </row>
    <row r="897">
      <c r="C897" s="3"/>
      <c r="D897" s="69"/>
      <c r="H897" s="69"/>
      <c r="O897" s="49"/>
      <c r="P897" s="69"/>
      <c r="S897" s="69"/>
      <c r="X897" s="69"/>
      <c r="AF897" s="69"/>
      <c r="AK897" s="69"/>
      <c r="AM897" s="69"/>
      <c r="AS897" s="69"/>
      <c r="AU897" s="3"/>
      <c r="AV897" s="69"/>
      <c r="AZ897" s="30"/>
    </row>
    <row r="898">
      <c r="C898" s="3"/>
      <c r="D898" s="69"/>
      <c r="H898" s="69"/>
      <c r="O898" s="49"/>
      <c r="P898" s="69"/>
      <c r="S898" s="69"/>
      <c r="X898" s="69"/>
      <c r="AF898" s="69"/>
      <c r="AK898" s="69"/>
      <c r="AM898" s="69"/>
      <c r="AS898" s="69"/>
      <c r="AU898" s="3"/>
      <c r="AV898" s="69"/>
      <c r="AZ898" s="30"/>
    </row>
    <row r="899">
      <c r="C899" s="3"/>
      <c r="D899" s="69"/>
      <c r="H899" s="69"/>
      <c r="O899" s="49"/>
      <c r="P899" s="69"/>
      <c r="S899" s="69"/>
      <c r="X899" s="69"/>
      <c r="AF899" s="69"/>
      <c r="AK899" s="69"/>
      <c r="AM899" s="69"/>
      <c r="AS899" s="69"/>
      <c r="AU899" s="3"/>
      <c r="AV899" s="69"/>
      <c r="AZ899" s="30"/>
    </row>
    <row r="900">
      <c r="C900" s="3"/>
      <c r="D900" s="69"/>
      <c r="H900" s="69"/>
      <c r="O900" s="49"/>
      <c r="P900" s="69"/>
      <c r="S900" s="69"/>
      <c r="X900" s="69"/>
      <c r="AF900" s="69"/>
      <c r="AK900" s="69"/>
      <c r="AM900" s="69"/>
      <c r="AS900" s="69"/>
      <c r="AU900" s="3"/>
      <c r="AV900" s="69"/>
      <c r="AZ900" s="30"/>
    </row>
    <row r="901">
      <c r="C901" s="3"/>
      <c r="D901" s="69"/>
      <c r="H901" s="69"/>
      <c r="O901" s="49"/>
      <c r="P901" s="69"/>
      <c r="S901" s="69"/>
      <c r="X901" s="69"/>
      <c r="AF901" s="69"/>
      <c r="AK901" s="69"/>
      <c r="AM901" s="69"/>
      <c r="AS901" s="69"/>
      <c r="AU901" s="3"/>
      <c r="AV901" s="69"/>
      <c r="AZ901" s="30"/>
    </row>
    <row r="902">
      <c r="C902" s="3"/>
      <c r="D902" s="69"/>
      <c r="H902" s="69"/>
      <c r="O902" s="49"/>
      <c r="P902" s="69"/>
      <c r="S902" s="69"/>
      <c r="X902" s="69"/>
      <c r="AF902" s="69"/>
      <c r="AK902" s="69"/>
      <c r="AM902" s="69"/>
      <c r="AS902" s="69"/>
      <c r="AU902" s="3"/>
      <c r="AV902" s="69"/>
      <c r="AZ902" s="30"/>
    </row>
    <row r="903">
      <c r="C903" s="3"/>
      <c r="D903" s="69"/>
      <c r="H903" s="69"/>
      <c r="O903" s="49"/>
      <c r="P903" s="69"/>
      <c r="S903" s="69"/>
      <c r="X903" s="69"/>
      <c r="AF903" s="69"/>
      <c r="AK903" s="69"/>
      <c r="AM903" s="69"/>
      <c r="AS903" s="69"/>
      <c r="AU903" s="3"/>
      <c r="AV903" s="69"/>
      <c r="AZ903" s="30"/>
    </row>
    <row r="904">
      <c r="C904" s="3"/>
      <c r="D904" s="69"/>
      <c r="H904" s="69"/>
      <c r="O904" s="49"/>
      <c r="P904" s="69"/>
      <c r="S904" s="69"/>
      <c r="X904" s="69"/>
      <c r="AF904" s="69"/>
      <c r="AK904" s="69"/>
      <c r="AM904" s="69"/>
      <c r="AS904" s="69"/>
      <c r="AU904" s="3"/>
      <c r="AV904" s="69"/>
      <c r="AZ904" s="30"/>
    </row>
    <row r="905">
      <c r="C905" s="3"/>
      <c r="D905" s="69"/>
      <c r="H905" s="69"/>
      <c r="O905" s="49"/>
      <c r="P905" s="69"/>
      <c r="S905" s="69"/>
      <c r="X905" s="69"/>
      <c r="AF905" s="69"/>
      <c r="AK905" s="69"/>
      <c r="AM905" s="69"/>
      <c r="AS905" s="69"/>
      <c r="AU905" s="3"/>
      <c r="AV905" s="69"/>
      <c r="AZ905" s="30"/>
    </row>
    <row r="906">
      <c r="C906" s="3"/>
      <c r="D906" s="69"/>
      <c r="H906" s="69"/>
      <c r="O906" s="49"/>
      <c r="P906" s="69"/>
      <c r="S906" s="69"/>
      <c r="X906" s="69"/>
      <c r="AF906" s="69"/>
      <c r="AK906" s="69"/>
      <c r="AM906" s="69"/>
      <c r="AS906" s="69"/>
      <c r="AU906" s="3"/>
      <c r="AV906" s="69"/>
      <c r="AZ906" s="30"/>
    </row>
    <row r="907">
      <c r="C907" s="3"/>
      <c r="D907" s="69"/>
      <c r="H907" s="69"/>
      <c r="O907" s="49"/>
      <c r="P907" s="69"/>
      <c r="S907" s="69"/>
      <c r="X907" s="69"/>
      <c r="AF907" s="69"/>
      <c r="AK907" s="69"/>
      <c r="AM907" s="69"/>
      <c r="AS907" s="69"/>
      <c r="AU907" s="3"/>
      <c r="AV907" s="69"/>
      <c r="AZ907" s="30"/>
    </row>
    <row r="908">
      <c r="C908" s="3"/>
      <c r="D908" s="69"/>
      <c r="H908" s="69"/>
      <c r="O908" s="49"/>
      <c r="P908" s="69"/>
      <c r="S908" s="69"/>
      <c r="X908" s="69"/>
      <c r="AF908" s="69"/>
      <c r="AK908" s="69"/>
      <c r="AM908" s="69"/>
      <c r="AS908" s="69"/>
      <c r="AU908" s="3"/>
      <c r="AV908" s="69"/>
      <c r="AZ908" s="30"/>
    </row>
    <row r="909">
      <c r="C909" s="3"/>
      <c r="D909" s="69"/>
      <c r="H909" s="69"/>
      <c r="O909" s="49"/>
      <c r="P909" s="69"/>
      <c r="S909" s="69"/>
      <c r="X909" s="69"/>
      <c r="AF909" s="69"/>
      <c r="AK909" s="69"/>
      <c r="AM909" s="69"/>
      <c r="AS909" s="69"/>
      <c r="AU909" s="3"/>
      <c r="AV909" s="69"/>
      <c r="AZ909" s="30"/>
    </row>
    <row r="910">
      <c r="C910" s="3"/>
      <c r="D910" s="69"/>
      <c r="H910" s="69"/>
      <c r="O910" s="49"/>
      <c r="P910" s="69"/>
      <c r="S910" s="69"/>
      <c r="X910" s="69"/>
      <c r="AF910" s="69"/>
      <c r="AK910" s="69"/>
      <c r="AM910" s="69"/>
      <c r="AS910" s="69"/>
      <c r="AU910" s="3"/>
      <c r="AV910" s="69"/>
      <c r="AZ910" s="30"/>
    </row>
    <row r="911">
      <c r="C911" s="3"/>
      <c r="D911" s="69"/>
      <c r="H911" s="69"/>
      <c r="O911" s="49"/>
      <c r="P911" s="69"/>
      <c r="S911" s="69"/>
      <c r="X911" s="69"/>
      <c r="AF911" s="69"/>
      <c r="AK911" s="69"/>
      <c r="AM911" s="69"/>
      <c r="AS911" s="69"/>
      <c r="AU911" s="3"/>
      <c r="AV911" s="69"/>
      <c r="AZ911" s="30"/>
    </row>
    <row r="912">
      <c r="C912" s="3"/>
      <c r="D912" s="69"/>
      <c r="H912" s="69"/>
      <c r="O912" s="49"/>
      <c r="P912" s="69"/>
      <c r="S912" s="69"/>
      <c r="X912" s="69"/>
      <c r="AF912" s="69"/>
      <c r="AK912" s="69"/>
      <c r="AM912" s="69"/>
      <c r="AS912" s="69"/>
      <c r="AU912" s="3"/>
      <c r="AV912" s="69"/>
      <c r="AZ912" s="30"/>
    </row>
    <row r="913">
      <c r="C913" s="3"/>
      <c r="D913" s="69"/>
      <c r="H913" s="69"/>
      <c r="O913" s="49"/>
      <c r="P913" s="69"/>
      <c r="S913" s="69"/>
      <c r="X913" s="69"/>
      <c r="AF913" s="69"/>
      <c r="AK913" s="69"/>
      <c r="AM913" s="69"/>
      <c r="AS913" s="69"/>
      <c r="AU913" s="3"/>
      <c r="AV913" s="69"/>
      <c r="AZ913" s="30"/>
    </row>
    <row r="914">
      <c r="C914" s="3"/>
      <c r="D914" s="69"/>
      <c r="H914" s="69"/>
      <c r="O914" s="49"/>
      <c r="P914" s="69"/>
      <c r="S914" s="69"/>
      <c r="X914" s="69"/>
      <c r="AF914" s="69"/>
      <c r="AK914" s="69"/>
      <c r="AM914" s="69"/>
      <c r="AS914" s="69"/>
      <c r="AU914" s="3"/>
      <c r="AV914" s="69"/>
      <c r="AZ914" s="30"/>
    </row>
    <row r="915">
      <c r="C915" s="3"/>
      <c r="D915" s="69"/>
      <c r="H915" s="69"/>
      <c r="O915" s="49"/>
      <c r="P915" s="69"/>
      <c r="S915" s="69"/>
      <c r="X915" s="69"/>
      <c r="AF915" s="69"/>
      <c r="AK915" s="69"/>
      <c r="AM915" s="69"/>
      <c r="AS915" s="69"/>
      <c r="AU915" s="3"/>
      <c r="AV915" s="69"/>
      <c r="AZ915" s="30"/>
    </row>
    <row r="916">
      <c r="C916" s="3"/>
      <c r="D916" s="69"/>
      <c r="H916" s="69"/>
      <c r="O916" s="49"/>
      <c r="P916" s="69"/>
      <c r="S916" s="69"/>
      <c r="X916" s="69"/>
      <c r="AF916" s="69"/>
      <c r="AK916" s="69"/>
      <c r="AM916" s="69"/>
      <c r="AS916" s="69"/>
      <c r="AU916" s="3"/>
      <c r="AV916" s="69"/>
      <c r="AZ916" s="30"/>
    </row>
    <row r="917">
      <c r="C917" s="3"/>
      <c r="D917" s="69"/>
      <c r="H917" s="69"/>
      <c r="O917" s="49"/>
      <c r="P917" s="69"/>
      <c r="S917" s="69"/>
      <c r="X917" s="69"/>
      <c r="AF917" s="69"/>
      <c r="AK917" s="69"/>
      <c r="AM917" s="69"/>
      <c r="AS917" s="69"/>
      <c r="AU917" s="3"/>
      <c r="AV917" s="69"/>
      <c r="AZ917" s="30"/>
    </row>
    <row r="918">
      <c r="C918" s="3"/>
      <c r="D918" s="69"/>
      <c r="H918" s="69"/>
      <c r="O918" s="49"/>
      <c r="P918" s="69"/>
      <c r="S918" s="69"/>
      <c r="X918" s="69"/>
      <c r="AF918" s="69"/>
      <c r="AK918" s="69"/>
      <c r="AM918" s="69"/>
      <c r="AS918" s="69"/>
      <c r="AU918" s="3"/>
      <c r="AV918" s="69"/>
      <c r="AZ918" s="30"/>
    </row>
    <row r="919">
      <c r="C919" s="3"/>
      <c r="D919" s="69"/>
      <c r="H919" s="69"/>
      <c r="O919" s="49"/>
      <c r="P919" s="69"/>
      <c r="S919" s="69"/>
      <c r="X919" s="69"/>
      <c r="AF919" s="69"/>
      <c r="AK919" s="69"/>
      <c r="AM919" s="69"/>
      <c r="AS919" s="69"/>
      <c r="AU919" s="3"/>
      <c r="AV919" s="69"/>
      <c r="AZ919" s="30"/>
    </row>
    <row r="920">
      <c r="C920" s="3"/>
      <c r="D920" s="69"/>
      <c r="H920" s="69"/>
      <c r="O920" s="49"/>
      <c r="P920" s="69"/>
      <c r="S920" s="69"/>
      <c r="X920" s="69"/>
      <c r="AF920" s="69"/>
      <c r="AK920" s="69"/>
      <c r="AM920" s="69"/>
      <c r="AS920" s="69"/>
      <c r="AU920" s="3"/>
      <c r="AV920" s="69"/>
      <c r="AZ920" s="30"/>
    </row>
    <row r="921">
      <c r="C921" s="3"/>
      <c r="D921" s="69"/>
      <c r="H921" s="69"/>
      <c r="O921" s="49"/>
      <c r="P921" s="69"/>
      <c r="S921" s="69"/>
      <c r="X921" s="69"/>
      <c r="AF921" s="69"/>
      <c r="AK921" s="69"/>
      <c r="AM921" s="69"/>
      <c r="AS921" s="69"/>
      <c r="AU921" s="3"/>
      <c r="AV921" s="69"/>
      <c r="AZ921" s="30"/>
    </row>
    <row r="922">
      <c r="C922" s="3"/>
      <c r="D922" s="69"/>
      <c r="H922" s="69"/>
      <c r="O922" s="49"/>
      <c r="P922" s="69"/>
      <c r="S922" s="69"/>
      <c r="X922" s="69"/>
      <c r="AF922" s="69"/>
      <c r="AK922" s="69"/>
      <c r="AM922" s="69"/>
      <c r="AS922" s="69"/>
      <c r="AU922" s="3"/>
      <c r="AV922" s="69"/>
      <c r="AZ922" s="30"/>
    </row>
    <row r="923">
      <c r="C923" s="3"/>
      <c r="D923" s="69"/>
      <c r="H923" s="69"/>
      <c r="O923" s="49"/>
      <c r="P923" s="69"/>
      <c r="S923" s="69"/>
      <c r="X923" s="69"/>
      <c r="AF923" s="69"/>
      <c r="AK923" s="69"/>
      <c r="AM923" s="69"/>
      <c r="AS923" s="69"/>
      <c r="AU923" s="3"/>
      <c r="AV923" s="69"/>
      <c r="AZ923" s="30"/>
    </row>
    <row r="924">
      <c r="C924" s="3"/>
      <c r="D924" s="69"/>
      <c r="H924" s="69"/>
      <c r="O924" s="49"/>
      <c r="P924" s="69"/>
      <c r="S924" s="69"/>
      <c r="X924" s="69"/>
      <c r="AF924" s="69"/>
      <c r="AK924" s="69"/>
      <c r="AM924" s="69"/>
      <c r="AS924" s="69"/>
      <c r="AU924" s="3"/>
      <c r="AV924" s="69"/>
      <c r="AZ924" s="30"/>
    </row>
    <row r="925">
      <c r="C925" s="3"/>
      <c r="D925" s="69"/>
      <c r="H925" s="69"/>
      <c r="O925" s="49"/>
      <c r="P925" s="69"/>
      <c r="S925" s="69"/>
      <c r="X925" s="69"/>
      <c r="AF925" s="69"/>
      <c r="AK925" s="69"/>
      <c r="AM925" s="69"/>
      <c r="AS925" s="69"/>
      <c r="AU925" s="3"/>
      <c r="AV925" s="69"/>
      <c r="AZ925" s="30"/>
    </row>
    <row r="926">
      <c r="C926" s="3"/>
      <c r="D926" s="69"/>
      <c r="H926" s="69"/>
      <c r="O926" s="49"/>
      <c r="P926" s="69"/>
      <c r="S926" s="69"/>
      <c r="X926" s="69"/>
      <c r="AF926" s="69"/>
      <c r="AK926" s="69"/>
      <c r="AM926" s="69"/>
      <c r="AS926" s="69"/>
      <c r="AU926" s="3"/>
      <c r="AV926" s="69"/>
      <c r="AZ926" s="30"/>
    </row>
    <row r="927">
      <c r="C927" s="3"/>
      <c r="D927" s="69"/>
      <c r="H927" s="69"/>
      <c r="O927" s="49"/>
      <c r="P927" s="69"/>
      <c r="S927" s="69"/>
      <c r="X927" s="69"/>
      <c r="AF927" s="69"/>
      <c r="AK927" s="69"/>
      <c r="AM927" s="69"/>
      <c r="AS927" s="69"/>
      <c r="AU927" s="3"/>
      <c r="AV927" s="69"/>
      <c r="AZ927" s="30"/>
    </row>
    <row r="928">
      <c r="C928" s="3"/>
      <c r="D928" s="69"/>
      <c r="H928" s="69"/>
      <c r="O928" s="49"/>
      <c r="P928" s="69"/>
      <c r="S928" s="69"/>
      <c r="X928" s="69"/>
      <c r="AF928" s="69"/>
      <c r="AK928" s="69"/>
      <c r="AM928" s="69"/>
      <c r="AS928" s="69"/>
      <c r="AU928" s="3"/>
      <c r="AV928" s="69"/>
      <c r="AZ928" s="30"/>
    </row>
    <row r="929">
      <c r="C929" s="3"/>
      <c r="D929" s="69"/>
      <c r="H929" s="69"/>
      <c r="O929" s="49"/>
      <c r="P929" s="69"/>
      <c r="S929" s="69"/>
      <c r="X929" s="69"/>
      <c r="AF929" s="69"/>
      <c r="AK929" s="69"/>
      <c r="AM929" s="69"/>
      <c r="AS929" s="69"/>
      <c r="AU929" s="3"/>
      <c r="AV929" s="69"/>
      <c r="AZ929" s="30"/>
    </row>
    <row r="930">
      <c r="C930" s="3"/>
      <c r="D930" s="69"/>
      <c r="H930" s="69"/>
      <c r="O930" s="49"/>
      <c r="P930" s="69"/>
      <c r="S930" s="69"/>
      <c r="X930" s="69"/>
      <c r="AF930" s="69"/>
      <c r="AK930" s="69"/>
      <c r="AM930" s="69"/>
      <c r="AS930" s="69"/>
      <c r="AU930" s="3"/>
      <c r="AV930" s="69"/>
      <c r="AZ930" s="30"/>
    </row>
    <row r="931">
      <c r="C931" s="3"/>
      <c r="D931" s="69"/>
      <c r="H931" s="69"/>
      <c r="O931" s="49"/>
      <c r="P931" s="69"/>
      <c r="S931" s="69"/>
      <c r="X931" s="69"/>
      <c r="AF931" s="69"/>
      <c r="AK931" s="69"/>
      <c r="AM931" s="69"/>
      <c r="AS931" s="69"/>
      <c r="AU931" s="3"/>
      <c r="AV931" s="69"/>
      <c r="AZ931" s="30"/>
    </row>
    <row r="932">
      <c r="C932" s="3"/>
      <c r="D932" s="69"/>
      <c r="H932" s="69"/>
      <c r="O932" s="49"/>
      <c r="P932" s="69"/>
      <c r="S932" s="69"/>
      <c r="X932" s="69"/>
      <c r="AF932" s="69"/>
      <c r="AK932" s="69"/>
      <c r="AM932" s="69"/>
      <c r="AS932" s="69"/>
      <c r="AU932" s="3"/>
      <c r="AV932" s="69"/>
      <c r="AZ932" s="30"/>
    </row>
    <row r="933">
      <c r="C933" s="3"/>
      <c r="D933" s="69"/>
      <c r="H933" s="69"/>
      <c r="O933" s="49"/>
      <c r="P933" s="69"/>
      <c r="S933" s="69"/>
      <c r="X933" s="69"/>
      <c r="AF933" s="69"/>
      <c r="AK933" s="69"/>
      <c r="AM933" s="69"/>
      <c r="AS933" s="69"/>
      <c r="AU933" s="3"/>
      <c r="AV933" s="69"/>
      <c r="AZ933" s="30"/>
    </row>
    <row r="934">
      <c r="C934" s="3"/>
      <c r="D934" s="69"/>
      <c r="H934" s="69"/>
      <c r="O934" s="49"/>
      <c r="P934" s="69"/>
      <c r="S934" s="69"/>
      <c r="X934" s="69"/>
      <c r="AF934" s="69"/>
      <c r="AK934" s="69"/>
      <c r="AM934" s="69"/>
      <c r="AS934" s="69"/>
      <c r="AU934" s="3"/>
      <c r="AV934" s="69"/>
      <c r="AZ934" s="30"/>
    </row>
    <row r="935">
      <c r="C935" s="3"/>
      <c r="D935" s="69"/>
      <c r="H935" s="69"/>
      <c r="O935" s="49"/>
      <c r="P935" s="69"/>
      <c r="S935" s="69"/>
      <c r="X935" s="69"/>
      <c r="AF935" s="69"/>
      <c r="AK935" s="69"/>
      <c r="AM935" s="69"/>
      <c r="AS935" s="69"/>
      <c r="AU935" s="3"/>
      <c r="AV935" s="69"/>
      <c r="AZ935" s="30"/>
    </row>
    <row r="936">
      <c r="C936" s="3"/>
      <c r="D936" s="69"/>
      <c r="H936" s="69"/>
      <c r="O936" s="49"/>
      <c r="P936" s="69"/>
      <c r="S936" s="69"/>
      <c r="X936" s="69"/>
      <c r="AF936" s="69"/>
      <c r="AK936" s="69"/>
      <c r="AM936" s="69"/>
      <c r="AS936" s="69"/>
      <c r="AU936" s="3"/>
      <c r="AV936" s="69"/>
      <c r="AZ936" s="30"/>
    </row>
    <row r="937">
      <c r="C937" s="3"/>
      <c r="D937" s="69"/>
      <c r="H937" s="69"/>
      <c r="O937" s="49"/>
      <c r="P937" s="69"/>
      <c r="S937" s="69"/>
      <c r="X937" s="69"/>
      <c r="AF937" s="69"/>
      <c r="AK937" s="69"/>
      <c r="AM937" s="69"/>
      <c r="AS937" s="69"/>
      <c r="AU937" s="3"/>
      <c r="AV937" s="69"/>
      <c r="AZ937" s="30"/>
    </row>
    <row r="938">
      <c r="C938" s="3"/>
      <c r="D938" s="69"/>
      <c r="H938" s="69"/>
      <c r="O938" s="49"/>
      <c r="P938" s="69"/>
      <c r="S938" s="69"/>
      <c r="X938" s="69"/>
      <c r="AF938" s="69"/>
      <c r="AK938" s="69"/>
      <c r="AM938" s="69"/>
      <c r="AS938" s="69"/>
      <c r="AU938" s="3"/>
      <c r="AV938" s="69"/>
      <c r="AZ938" s="30"/>
    </row>
    <row r="939">
      <c r="C939" s="3"/>
      <c r="D939" s="69"/>
      <c r="H939" s="69"/>
      <c r="O939" s="49"/>
      <c r="P939" s="69"/>
      <c r="S939" s="69"/>
      <c r="X939" s="69"/>
      <c r="AF939" s="69"/>
      <c r="AK939" s="69"/>
      <c r="AM939" s="69"/>
      <c r="AS939" s="69"/>
      <c r="AU939" s="3"/>
      <c r="AV939" s="69"/>
      <c r="AZ939" s="30"/>
    </row>
    <row r="940">
      <c r="C940" s="3"/>
      <c r="D940" s="69"/>
      <c r="H940" s="69"/>
      <c r="O940" s="49"/>
      <c r="P940" s="69"/>
      <c r="S940" s="69"/>
      <c r="X940" s="69"/>
      <c r="AF940" s="69"/>
      <c r="AK940" s="69"/>
      <c r="AM940" s="69"/>
      <c r="AS940" s="69"/>
      <c r="AU940" s="3"/>
      <c r="AV940" s="69"/>
      <c r="AZ940" s="30"/>
    </row>
    <row r="941">
      <c r="C941" s="3"/>
      <c r="D941" s="69"/>
      <c r="H941" s="69"/>
      <c r="O941" s="49"/>
      <c r="P941" s="69"/>
      <c r="S941" s="69"/>
      <c r="X941" s="69"/>
      <c r="AF941" s="69"/>
      <c r="AK941" s="69"/>
      <c r="AM941" s="69"/>
      <c r="AS941" s="69"/>
      <c r="AU941" s="3"/>
      <c r="AV941" s="69"/>
      <c r="AZ941" s="30"/>
    </row>
    <row r="942">
      <c r="C942" s="3"/>
      <c r="D942" s="69"/>
      <c r="H942" s="69"/>
      <c r="O942" s="49"/>
      <c r="P942" s="69"/>
      <c r="S942" s="69"/>
      <c r="X942" s="69"/>
      <c r="AF942" s="69"/>
      <c r="AK942" s="69"/>
      <c r="AM942" s="69"/>
      <c r="AS942" s="69"/>
      <c r="AU942" s="3"/>
      <c r="AV942" s="69"/>
      <c r="AZ942" s="30"/>
    </row>
    <row r="943">
      <c r="C943" s="3"/>
      <c r="D943" s="69"/>
      <c r="H943" s="69"/>
      <c r="O943" s="49"/>
      <c r="P943" s="69"/>
      <c r="S943" s="69"/>
      <c r="X943" s="69"/>
      <c r="AF943" s="69"/>
      <c r="AK943" s="69"/>
      <c r="AM943" s="69"/>
      <c r="AS943" s="69"/>
      <c r="AU943" s="3"/>
      <c r="AV943" s="69"/>
      <c r="AZ943" s="30"/>
    </row>
    <row r="944">
      <c r="C944" s="3"/>
      <c r="D944" s="69"/>
      <c r="H944" s="69"/>
      <c r="O944" s="49"/>
      <c r="P944" s="69"/>
      <c r="S944" s="69"/>
      <c r="X944" s="69"/>
      <c r="AF944" s="69"/>
      <c r="AK944" s="69"/>
      <c r="AM944" s="69"/>
      <c r="AS944" s="69"/>
      <c r="AU944" s="3"/>
      <c r="AV944" s="69"/>
      <c r="AZ944" s="30"/>
    </row>
    <row r="945">
      <c r="C945" s="3"/>
      <c r="D945" s="69"/>
      <c r="H945" s="69"/>
      <c r="O945" s="49"/>
      <c r="P945" s="69"/>
      <c r="S945" s="69"/>
      <c r="X945" s="69"/>
      <c r="AF945" s="69"/>
      <c r="AK945" s="69"/>
      <c r="AM945" s="69"/>
      <c r="AS945" s="69"/>
      <c r="AU945" s="3"/>
      <c r="AV945" s="69"/>
      <c r="AZ945" s="30"/>
    </row>
    <row r="946">
      <c r="C946" s="3"/>
      <c r="D946" s="69"/>
      <c r="H946" s="69"/>
      <c r="O946" s="49"/>
      <c r="P946" s="69"/>
      <c r="S946" s="69"/>
      <c r="X946" s="69"/>
      <c r="AF946" s="69"/>
      <c r="AK946" s="69"/>
      <c r="AM946" s="69"/>
      <c r="AS946" s="69"/>
      <c r="AU946" s="3"/>
      <c r="AV946" s="69"/>
      <c r="AZ946" s="30"/>
    </row>
    <row r="947">
      <c r="C947" s="3"/>
      <c r="D947" s="69"/>
      <c r="H947" s="69"/>
      <c r="O947" s="49"/>
      <c r="P947" s="69"/>
      <c r="S947" s="69"/>
      <c r="X947" s="69"/>
      <c r="AF947" s="69"/>
      <c r="AK947" s="69"/>
      <c r="AM947" s="69"/>
      <c r="AS947" s="69"/>
      <c r="AU947" s="3"/>
      <c r="AV947" s="69"/>
      <c r="AZ947" s="30"/>
    </row>
    <row r="948">
      <c r="C948" s="3"/>
      <c r="D948" s="69"/>
      <c r="H948" s="69"/>
      <c r="O948" s="49"/>
      <c r="P948" s="69"/>
      <c r="S948" s="69"/>
      <c r="X948" s="69"/>
      <c r="AF948" s="69"/>
      <c r="AK948" s="69"/>
      <c r="AM948" s="69"/>
      <c r="AS948" s="69"/>
      <c r="AU948" s="3"/>
      <c r="AV948" s="69"/>
      <c r="AZ948" s="30"/>
    </row>
    <row r="949">
      <c r="C949" s="3"/>
      <c r="D949" s="69"/>
      <c r="H949" s="69"/>
      <c r="O949" s="49"/>
      <c r="P949" s="69"/>
      <c r="S949" s="69"/>
      <c r="X949" s="69"/>
      <c r="AF949" s="69"/>
      <c r="AK949" s="69"/>
      <c r="AM949" s="69"/>
      <c r="AS949" s="69"/>
      <c r="AU949" s="3"/>
      <c r="AV949" s="69"/>
      <c r="AZ949" s="30"/>
    </row>
    <row r="950">
      <c r="C950" s="3"/>
      <c r="D950" s="69"/>
      <c r="H950" s="69"/>
      <c r="O950" s="49"/>
      <c r="P950" s="69"/>
      <c r="S950" s="69"/>
      <c r="X950" s="69"/>
      <c r="AF950" s="69"/>
      <c r="AK950" s="69"/>
      <c r="AM950" s="69"/>
      <c r="AS950" s="69"/>
      <c r="AU950" s="3"/>
      <c r="AV950" s="69"/>
      <c r="AZ950" s="30"/>
    </row>
    <row r="951">
      <c r="C951" s="3"/>
      <c r="D951" s="69"/>
      <c r="H951" s="69"/>
      <c r="O951" s="49"/>
      <c r="P951" s="69"/>
      <c r="S951" s="69"/>
      <c r="X951" s="69"/>
      <c r="AF951" s="69"/>
      <c r="AK951" s="69"/>
      <c r="AM951" s="69"/>
      <c r="AS951" s="69"/>
      <c r="AU951" s="3"/>
      <c r="AV951" s="69"/>
      <c r="AZ951" s="30"/>
    </row>
    <row r="952">
      <c r="C952" s="3"/>
      <c r="D952" s="69"/>
      <c r="H952" s="69"/>
      <c r="O952" s="49"/>
      <c r="P952" s="69"/>
      <c r="S952" s="69"/>
      <c r="X952" s="69"/>
      <c r="AF952" s="69"/>
      <c r="AK952" s="69"/>
      <c r="AM952" s="69"/>
      <c r="AS952" s="69"/>
      <c r="AU952" s="3"/>
      <c r="AV952" s="69"/>
      <c r="AZ952" s="30"/>
    </row>
    <row r="953">
      <c r="C953" s="3"/>
      <c r="D953" s="69"/>
      <c r="H953" s="69"/>
      <c r="O953" s="49"/>
      <c r="P953" s="69"/>
      <c r="S953" s="69"/>
      <c r="X953" s="69"/>
      <c r="AF953" s="69"/>
      <c r="AK953" s="69"/>
      <c r="AM953" s="69"/>
      <c r="AS953" s="69"/>
      <c r="AU953" s="3"/>
      <c r="AV953" s="69"/>
      <c r="AZ953" s="30"/>
    </row>
    <row r="954">
      <c r="C954" s="3"/>
      <c r="D954" s="69"/>
      <c r="H954" s="69"/>
      <c r="O954" s="49"/>
      <c r="P954" s="69"/>
      <c r="S954" s="69"/>
      <c r="X954" s="69"/>
      <c r="AF954" s="69"/>
      <c r="AK954" s="69"/>
      <c r="AM954" s="69"/>
      <c r="AS954" s="69"/>
      <c r="AU954" s="3"/>
      <c r="AV954" s="69"/>
      <c r="AZ954" s="30"/>
    </row>
    <row r="955">
      <c r="C955" s="3"/>
      <c r="D955" s="69"/>
      <c r="H955" s="69"/>
      <c r="O955" s="49"/>
      <c r="P955" s="69"/>
      <c r="S955" s="69"/>
      <c r="X955" s="69"/>
      <c r="AF955" s="69"/>
      <c r="AK955" s="69"/>
      <c r="AM955" s="69"/>
      <c r="AS955" s="69"/>
      <c r="AU955" s="3"/>
      <c r="AV955" s="69"/>
      <c r="AZ955" s="30"/>
    </row>
    <row r="956">
      <c r="C956" s="3"/>
      <c r="D956" s="69"/>
      <c r="H956" s="69"/>
      <c r="O956" s="49"/>
      <c r="P956" s="69"/>
      <c r="S956" s="69"/>
      <c r="X956" s="69"/>
      <c r="AF956" s="69"/>
      <c r="AK956" s="69"/>
      <c r="AM956" s="69"/>
      <c r="AS956" s="69"/>
      <c r="AU956" s="3"/>
      <c r="AV956" s="69"/>
      <c r="AZ956" s="30"/>
    </row>
    <row r="957">
      <c r="C957" s="3"/>
      <c r="D957" s="69"/>
      <c r="H957" s="69"/>
      <c r="O957" s="49"/>
      <c r="P957" s="69"/>
      <c r="S957" s="69"/>
      <c r="X957" s="69"/>
      <c r="AF957" s="69"/>
      <c r="AK957" s="69"/>
      <c r="AM957" s="69"/>
      <c r="AS957" s="69"/>
      <c r="AU957" s="3"/>
      <c r="AV957" s="69"/>
      <c r="AZ957" s="30"/>
    </row>
    <row r="958">
      <c r="C958" s="3"/>
      <c r="D958" s="69"/>
      <c r="H958" s="69"/>
      <c r="O958" s="49"/>
      <c r="P958" s="69"/>
      <c r="S958" s="69"/>
      <c r="X958" s="69"/>
      <c r="AF958" s="69"/>
      <c r="AK958" s="69"/>
      <c r="AM958" s="69"/>
      <c r="AS958" s="69"/>
      <c r="AU958" s="3"/>
      <c r="AV958" s="69"/>
      <c r="AZ958" s="30"/>
    </row>
    <row r="959">
      <c r="C959" s="3"/>
      <c r="D959" s="69"/>
      <c r="H959" s="69"/>
      <c r="O959" s="49"/>
      <c r="P959" s="69"/>
      <c r="S959" s="69"/>
      <c r="X959" s="69"/>
      <c r="AF959" s="69"/>
      <c r="AK959" s="69"/>
      <c r="AM959" s="69"/>
      <c r="AS959" s="69"/>
      <c r="AU959" s="3"/>
      <c r="AV959" s="69"/>
      <c r="AZ959" s="30"/>
    </row>
    <row r="960">
      <c r="C960" s="3"/>
      <c r="D960" s="69"/>
      <c r="H960" s="69"/>
      <c r="O960" s="49"/>
      <c r="P960" s="69"/>
      <c r="S960" s="69"/>
      <c r="X960" s="69"/>
      <c r="AF960" s="69"/>
      <c r="AK960" s="69"/>
      <c r="AM960" s="69"/>
      <c r="AS960" s="69"/>
      <c r="AU960" s="3"/>
      <c r="AV960" s="69"/>
      <c r="AZ960" s="30"/>
    </row>
    <row r="961">
      <c r="C961" s="3"/>
      <c r="D961" s="69"/>
      <c r="H961" s="69"/>
      <c r="O961" s="49"/>
      <c r="P961" s="69"/>
      <c r="S961" s="69"/>
      <c r="X961" s="69"/>
      <c r="AF961" s="69"/>
      <c r="AK961" s="69"/>
      <c r="AM961" s="69"/>
      <c r="AS961" s="69"/>
      <c r="AU961" s="3"/>
      <c r="AV961" s="69"/>
      <c r="AZ961" s="30"/>
    </row>
    <row r="962">
      <c r="C962" s="3"/>
      <c r="D962" s="69"/>
      <c r="H962" s="69"/>
      <c r="O962" s="49"/>
      <c r="P962" s="69"/>
      <c r="S962" s="69"/>
      <c r="X962" s="69"/>
      <c r="AF962" s="69"/>
      <c r="AK962" s="69"/>
      <c r="AM962" s="69"/>
      <c r="AS962" s="69"/>
      <c r="AU962" s="3"/>
      <c r="AV962" s="69"/>
      <c r="AZ962" s="30"/>
    </row>
    <row r="963">
      <c r="C963" s="3"/>
      <c r="D963" s="69"/>
      <c r="H963" s="69"/>
      <c r="O963" s="49"/>
      <c r="P963" s="69"/>
      <c r="S963" s="69"/>
      <c r="X963" s="69"/>
      <c r="AF963" s="69"/>
      <c r="AK963" s="69"/>
      <c r="AM963" s="69"/>
      <c r="AS963" s="69"/>
      <c r="AU963" s="3"/>
      <c r="AV963" s="69"/>
      <c r="AZ963" s="30"/>
    </row>
    <row r="964">
      <c r="C964" s="3"/>
      <c r="D964" s="69"/>
      <c r="H964" s="69"/>
      <c r="O964" s="49"/>
      <c r="P964" s="69"/>
      <c r="S964" s="69"/>
      <c r="X964" s="69"/>
      <c r="AF964" s="69"/>
      <c r="AK964" s="69"/>
      <c r="AM964" s="69"/>
      <c r="AS964" s="69"/>
      <c r="AU964" s="3"/>
      <c r="AV964" s="69"/>
      <c r="AZ964" s="30"/>
    </row>
    <row r="965">
      <c r="C965" s="3"/>
      <c r="D965" s="69"/>
      <c r="H965" s="69"/>
      <c r="O965" s="49"/>
      <c r="P965" s="69"/>
      <c r="S965" s="69"/>
      <c r="X965" s="69"/>
      <c r="AF965" s="69"/>
      <c r="AK965" s="69"/>
      <c r="AM965" s="69"/>
      <c r="AS965" s="69"/>
      <c r="AU965" s="3"/>
      <c r="AV965" s="69"/>
      <c r="AZ965" s="30"/>
    </row>
    <row r="966">
      <c r="C966" s="3"/>
      <c r="D966" s="69"/>
      <c r="H966" s="69"/>
      <c r="O966" s="49"/>
      <c r="P966" s="69"/>
      <c r="S966" s="69"/>
      <c r="X966" s="69"/>
      <c r="AF966" s="69"/>
      <c r="AK966" s="69"/>
      <c r="AM966" s="69"/>
      <c r="AS966" s="69"/>
      <c r="AU966" s="3"/>
      <c r="AV966" s="69"/>
      <c r="AZ966" s="30"/>
    </row>
    <row r="967">
      <c r="C967" s="3"/>
      <c r="D967" s="69"/>
      <c r="H967" s="69"/>
      <c r="O967" s="49"/>
      <c r="P967" s="69"/>
      <c r="S967" s="69"/>
      <c r="X967" s="69"/>
      <c r="AF967" s="69"/>
      <c r="AK967" s="69"/>
      <c r="AM967" s="69"/>
      <c r="AS967" s="69"/>
      <c r="AU967" s="3"/>
      <c r="AV967" s="69"/>
      <c r="AZ967" s="30"/>
    </row>
    <row r="968">
      <c r="C968" s="3"/>
      <c r="D968" s="69"/>
      <c r="H968" s="69"/>
      <c r="O968" s="49"/>
      <c r="P968" s="69"/>
      <c r="S968" s="69"/>
      <c r="X968" s="69"/>
      <c r="AF968" s="69"/>
      <c r="AK968" s="69"/>
      <c r="AM968" s="69"/>
      <c r="AS968" s="69"/>
      <c r="AU968" s="3"/>
      <c r="AV968" s="69"/>
      <c r="AZ968" s="30"/>
    </row>
    <row r="969">
      <c r="C969" s="3"/>
      <c r="D969" s="69"/>
      <c r="H969" s="69"/>
      <c r="O969" s="49"/>
      <c r="P969" s="69"/>
      <c r="S969" s="69"/>
      <c r="X969" s="69"/>
      <c r="AF969" s="69"/>
      <c r="AK969" s="69"/>
      <c r="AM969" s="69"/>
      <c r="AS969" s="69"/>
      <c r="AU969" s="3"/>
      <c r="AV969" s="69"/>
      <c r="AZ969" s="30"/>
    </row>
    <row r="970">
      <c r="C970" s="3"/>
      <c r="D970" s="69"/>
      <c r="H970" s="69"/>
      <c r="O970" s="49"/>
      <c r="P970" s="69"/>
      <c r="S970" s="69"/>
      <c r="X970" s="69"/>
      <c r="AF970" s="69"/>
      <c r="AK970" s="69"/>
      <c r="AM970" s="69"/>
      <c r="AS970" s="69"/>
      <c r="AU970" s="3"/>
      <c r="AV970" s="69"/>
      <c r="AZ970" s="30"/>
    </row>
    <row r="971">
      <c r="C971" s="3"/>
      <c r="D971" s="69"/>
      <c r="H971" s="69"/>
      <c r="O971" s="49"/>
      <c r="P971" s="69"/>
      <c r="S971" s="69"/>
      <c r="X971" s="69"/>
      <c r="AF971" s="69"/>
      <c r="AK971" s="69"/>
      <c r="AM971" s="69"/>
      <c r="AS971" s="69"/>
      <c r="AU971" s="3"/>
      <c r="AV971" s="69"/>
      <c r="AZ971" s="30"/>
    </row>
    <row r="972">
      <c r="C972" s="3"/>
      <c r="D972" s="69"/>
      <c r="H972" s="69"/>
      <c r="O972" s="49"/>
      <c r="P972" s="69"/>
      <c r="S972" s="69"/>
      <c r="X972" s="69"/>
      <c r="AF972" s="69"/>
      <c r="AK972" s="69"/>
      <c r="AM972" s="69"/>
      <c r="AS972" s="69"/>
      <c r="AU972" s="3"/>
      <c r="AV972" s="69"/>
      <c r="AZ972" s="30"/>
    </row>
    <row r="973">
      <c r="C973" s="3"/>
      <c r="D973" s="69"/>
      <c r="H973" s="69"/>
      <c r="O973" s="49"/>
      <c r="P973" s="69"/>
      <c r="S973" s="69"/>
      <c r="X973" s="69"/>
      <c r="AF973" s="69"/>
      <c r="AK973" s="69"/>
      <c r="AM973" s="69"/>
      <c r="AS973" s="69"/>
      <c r="AU973" s="3"/>
      <c r="AV973" s="69"/>
      <c r="AZ973" s="30"/>
    </row>
    <row r="974">
      <c r="C974" s="3"/>
      <c r="D974" s="69"/>
      <c r="H974" s="69"/>
      <c r="O974" s="49"/>
      <c r="P974" s="69"/>
      <c r="S974" s="69"/>
      <c r="X974" s="69"/>
      <c r="AF974" s="69"/>
      <c r="AK974" s="69"/>
      <c r="AM974" s="69"/>
      <c r="AS974" s="69"/>
      <c r="AU974" s="3"/>
      <c r="AV974" s="69"/>
      <c r="AZ974" s="30"/>
    </row>
    <row r="975">
      <c r="C975" s="3"/>
      <c r="D975" s="69"/>
      <c r="H975" s="69"/>
      <c r="O975" s="49"/>
      <c r="P975" s="69"/>
      <c r="S975" s="69"/>
      <c r="X975" s="69"/>
      <c r="AF975" s="69"/>
      <c r="AK975" s="69"/>
      <c r="AM975" s="69"/>
      <c r="AS975" s="69"/>
      <c r="AU975" s="3"/>
      <c r="AV975" s="69"/>
      <c r="AZ975" s="30"/>
    </row>
    <row r="976">
      <c r="C976" s="3"/>
      <c r="D976" s="69"/>
      <c r="H976" s="69"/>
      <c r="O976" s="49"/>
      <c r="P976" s="69"/>
      <c r="S976" s="69"/>
      <c r="X976" s="69"/>
      <c r="AF976" s="69"/>
      <c r="AK976" s="69"/>
      <c r="AM976" s="69"/>
      <c r="AS976" s="69"/>
      <c r="AU976" s="3"/>
      <c r="AV976" s="69"/>
      <c r="AZ976" s="30"/>
    </row>
    <row r="977">
      <c r="C977" s="3"/>
      <c r="D977" s="69"/>
      <c r="H977" s="69"/>
      <c r="O977" s="49"/>
      <c r="P977" s="69"/>
      <c r="S977" s="69"/>
      <c r="X977" s="69"/>
      <c r="AF977" s="69"/>
      <c r="AK977" s="69"/>
      <c r="AM977" s="69"/>
      <c r="AS977" s="69"/>
      <c r="AU977" s="3"/>
      <c r="AV977" s="69"/>
      <c r="AZ977" s="30"/>
    </row>
    <row r="978">
      <c r="C978" s="3"/>
      <c r="D978" s="69"/>
      <c r="H978" s="69"/>
      <c r="O978" s="49"/>
      <c r="P978" s="69"/>
      <c r="S978" s="69"/>
      <c r="X978" s="69"/>
      <c r="AF978" s="69"/>
      <c r="AK978" s="69"/>
      <c r="AM978" s="69"/>
      <c r="AS978" s="69"/>
      <c r="AU978" s="3"/>
      <c r="AV978" s="69"/>
      <c r="AZ978" s="30"/>
    </row>
    <row r="979">
      <c r="C979" s="3"/>
      <c r="D979" s="69"/>
      <c r="H979" s="69"/>
      <c r="O979" s="49"/>
      <c r="P979" s="69"/>
      <c r="S979" s="69"/>
      <c r="X979" s="69"/>
      <c r="AF979" s="69"/>
      <c r="AK979" s="69"/>
      <c r="AM979" s="69"/>
      <c r="AS979" s="69"/>
      <c r="AU979" s="3"/>
      <c r="AV979" s="69"/>
      <c r="AZ979" s="30"/>
    </row>
    <row r="980">
      <c r="C980" s="3"/>
      <c r="D980" s="69"/>
      <c r="H980" s="69"/>
      <c r="O980" s="49"/>
      <c r="P980" s="69"/>
      <c r="S980" s="69"/>
      <c r="X980" s="69"/>
      <c r="AF980" s="69"/>
      <c r="AK980" s="69"/>
      <c r="AM980" s="69"/>
      <c r="AS980" s="69"/>
      <c r="AU980" s="3"/>
      <c r="AV980" s="69"/>
      <c r="AZ980" s="30"/>
    </row>
    <row r="981">
      <c r="C981" s="3"/>
      <c r="D981" s="69"/>
      <c r="H981" s="69"/>
      <c r="O981" s="49"/>
      <c r="P981" s="69"/>
      <c r="S981" s="69"/>
      <c r="X981" s="69"/>
      <c r="AF981" s="69"/>
      <c r="AK981" s="69"/>
      <c r="AM981" s="69"/>
      <c r="AS981" s="69"/>
      <c r="AU981" s="3"/>
      <c r="AV981" s="69"/>
      <c r="AZ981" s="30"/>
    </row>
    <row r="982">
      <c r="C982" s="3"/>
      <c r="D982" s="69"/>
      <c r="H982" s="69"/>
      <c r="O982" s="49"/>
      <c r="P982" s="69"/>
      <c r="S982" s="69"/>
      <c r="X982" s="69"/>
      <c r="AF982" s="69"/>
      <c r="AK982" s="69"/>
      <c r="AM982" s="69"/>
      <c r="AS982" s="69"/>
      <c r="AU982" s="3"/>
      <c r="AV982" s="69"/>
      <c r="AZ982" s="30"/>
    </row>
    <row r="983">
      <c r="C983" s="3"/>
      <c r="D983" s="69"/>
      <c r="H983" s="69"/>
      <c r="O983" s="49"/>
      <c r="P983" s="69"/>
      <c r="S983" s="69"/>
      <c r="X983" s="69"/>
      <c r="AF983" s="69"/>
      <c r="AK983" s="69"/>
      <c r="AM983" s="69"/>
      <c r="AS983" s="69"/>
      <c r="AU983" s="3"/>
      <c r="AV983" s="69"/>
      <c r="AZ983" s="30"/>
    </row>
    <row r="984">
      <c r="C984" s="3"/>
      <c r="D984" s="69"/>
      <c r="H984" s="69"/>
      <c r="O984" s="49"/>
      <c r="P984" s="69"/>
      <c r="S984" s="69"/>
      <c r="X984" s="69"/>
      <c r="AF984" s="69"/>
      <c r="AK984" s="69"/>
      <c r="AM984" s="69"/>
      <c r="AS984" s="69"/>
      <c r="AU984" s="3"/>
      <c r="AV984" s="69"/>
      <c r="AZ984" s="30"/>
    </row>
    <row r="985">
      <c r="C985" s="3"/>
      <c r="D985" s="69"/>
      <c r="H985" s="69"/>
      <c r="O985" s="49"/>
      <c r="P985" s="69"/>
      <c r="S985" s="69"/>
      <c r="X985" s="69"/>
      <c r="AF985" s="69"/>
      <c r="AK985" s="69"/>
      <c r="AM985" s="69"/>
      <c r="AS985" s="69"/>
      <c r="AU985" s="3"/>
      <c r="AV985" s="69"/>
      <c r="AZ985" s="30"/>
    </row>
    <row r="986">
      <c r="C986" s="3"/>
      <c r="D986" s="69"/>
      <c r="H986" s="69"/>
      <c r="O986" s="49"/>
      <c r="P986" s="69"/>
      <c r="S986" s="69"/>
      <c r="X986" s="69"/>
      <c r="AF986" s="69"/>
      <c r="AK986" s="69"/>
      <c r="AM986" s="69"/>
      <c r="AS986" s="69"/>
      <c r="AU986" s="3"/>
      <c r="AV986" s="69"/>
      <c r="AZ986" s="30"/>
    </row>
    <row r="987">
      <c r="C987" s="3"/>
      <c r="D987" s="69"/>
      <c r="H987" s="69"/>
      <c r="O987" s="49"/>
      <c r="P987" s="69"/>
      <c r="S987" s="69"/>
      <c r="X987" s="69"/>
      <c r="AF987" s="69"/>
      <c r="AK987" s="69"/>
      <c r="AM987" s="69"/>
      <c r="AS987" s="69"/>
      <c r="AU987" s="3"/>
      <c r="AV987" s="69"/>
      <c r="AZ987" s="30"/>
    </row>
    <row r="988">
      <c r="C988" s="3"/>
      <c r="D988" s="69"/>
      <c r="H988" s="69"/>
      <c r="O988" s="49"/>
      <c r="P988" s="69"/>
      <c r="S988" s="69"/>
      <c r="X988" s="69"/>
      <c r="AF988" s="69"/>
      <c r="AK988" s="69"/>
      <c r="AM988" s="69"/>
      <c r="AS988" s="69"/>
      <c r="AU988" s="3"/>
      <c r="AV988" s="69"/>
      <c r="AZ988" s="30"/>
    </row>
    <row r="989">
      <c r="C989" s="3"/>
      <c r="D989" s="69"/>
      <c r="H989" s="69"/>
      <c r="O989" s="49"/>
      <c r="P989" s="69"/>
      <c r="S989" s="69"/>
      <c r="X989" s="69"/>
      <c r="AF989" s="69"/>
      <c r="AK989" s="69"/>
      <c r="AM989" s="69"/>
      <c r="AS989" s="69"/>
      <c r="AU989" s="3"/>
      <c r="AV989" s="69"/>
      <c r="AZ989" s="30"/>
    </row>
    <row r="990">
      <c r="C990" s="3"/>
      <c r="D990" s="69"/>
      <c r="H990" s="69"/>
      <c r="O990" s="49"/>
      <c r="P990" s="69"/>
      <c r="S990" s="69"/>
      <c r="X990" s="69"/>
      <c r="AF990" s="69"/>
      <c r="AK990" s="69"/>
      <c r="AM990" s="69"/>
      <c r="AS990" s="69"/>
      <c r="AU990" s="3"/>
      <c r="AV990" s="69"/>
      <c r="AZ990" s="30"/>
    </row>
    <row r="991">
      <c r="C991" s="3"/>
      <c r="D991" s="69"/>
      <c r="H991" s="69"/>
      <c r="O991" s="49"/>
      <c r="P991" s="69"/>
      <c r="S991" s="69"/>
      <c r="X991" s="69"/>
      <c r="AF991" s="69"/>
      <c r="AK991" s="69"/>
      <c r="AM991" s="69"/>
      <c r="AS991" s="69"/>
      <c r="AU991" s="3"/>
      <c r="AV991" s="69"/>
      <c r="AZ991" s="30"/>
    </row>
    <row r="992">
      <c r="C992" s="3"/>
      <c r="D992" s="69"/>
      <c r="H992" s="69"/>
      <c r="O992" s="49"/>
      <c r="P992" s="69"/>
      <c r="S992" s="69"/>
      <c r="X992" s="69"/>
      <c r="AF992" s="69"/>
      <c r="AK992" s="69"/>
      <c r="AM992" s="69"/>
      <c r="AS992" s="69"/>
      <c r="AU992" s="3"/>
      <c r="AV992" s="69"/>
      <c r="AZ992" s="30"/>
    </row>
    <row r="993">
      <c r="C993" s="3"/>
      <c r="D993" s="69"/>
      <c r="H993" s="69"/>
      <c r="O993" s="49"/>
      <c r="P993" s="69"/>
      <c r="S993" s="69"/>
      <c r="X993" s="69"/>
      <c r="AF993" s="69"/>
      <c r="AK993" s="69"/>
      <c r="AM993" s="69"/>
      <c r="AS993" s="69"/>
      <c r="AU993" s="3"/>
      <c r="AV993" s="69"/>
      <c r="AZ993" s="30"/>
    </row>
    <row r="994">
      <c r="C994" s="3"/>
      <c r="D994" s="69"/>
      <c r="H994" s="69"/>
      <c r="O994" s="49"/>
      <c r="P994" s="69"/>
      <c r="S994" s="69"/>
      <c r="X994" s="69"/>
      <c r="AF994" s="69"/>
      <c r="AK994" s="69"/>
      <c r="AM994" s="69"/>
      <c r="AS994" s="69"/>
      <c r="AU994" s="3"/>
      <c r="AV994" s="69"/>
      <c r="AZ994" s="30"/>
    </row>
    <row r="995">
      <c r="C995" s="3"/>
      <c r="D995" s="69"/>
      <c r="H995" s="69"/>
      <c r="O995" s="49"/>
      <c r="P995" s="69"/>
      <c r="S995" s="69"/>
      <c r="X995" s="69"/>
      <c r="AF995" s="69"/>
      <c r="AK995" s="69"/>
      <c r="AM995" s="69"/>
      <c r="AS995" s="69"/>
      <c r="AU995" s="3"/>
      <c r="AV995" s="69"/>
      <c r="AZ995" s="30"/>
    </row>
    <row r="996">
      <c r="C996" s="3"/>
      <c r="D996" s="69"/>
      <c r="H996" s="69"/>
      <c r="O996" s="49"/>
      <c r="P996" s="69"/>
      <c r="S996" s="69"/>
      <c r="X996" s="69"/>
      <c r="AF996" s="69"/>
      <c r="AK996" s="69"/>
      <c r="AM996" s="69"/>
      <c r="AS996" s="69"/>
      <c r="AU996" s="3"/>
      <c r="AV996" s="69"/>
      <c r="AZ996" s="30"/>
    </row>
    <row r="997">
      <c r="C997" s="3"/>
      <c r="D997" s="69"/>
      <c r="H997" s="69"/>
      <c r="O997" s="49"/>
      <c r="P997" s="69"/>
      <c r="S997" s="69"/>
      <c r="X997" s="69"/>
      <c r="AF997" s="69"/>
      <c r="AK997" s="69"/>
      <c r="AM997" s="69"/>
      <c r="AS997" s="69"/>
      <c r="AU997" s="3"/>
      <c r="AV997" s="69"/>
      <c r="AZ997" s="30"/>
    </row>
    <row r="998">
      <c r="C998" s="3"/>
      <c r="D998" s="69"/>
      <c r="H998" s="69"/>
      <c r="O998" s="49"/>
      <c r="P998" s="69"/>
      <c r="S998" s="69"/>
      <c r="X998" s="69"/>
      <c r="AF998" s="69"/>
      <c r="AK998" s="69"/>
      <c r="AM998" s="69"/>
      <c r="AS998" s="69"/>
      <c r="AU998" s="3"/>
      <c r="AV998" s="69"/>
      <c r="AZ998" s="30"/>
    </row>
    <row r="999">
      <c r="C999" s="3"/>
      <c r="D999" s="69"/>
      <c r="H999" s="69"/>
      <c r="O999" s="49"/>
      <c r="P999" s="69"/>
      <c r="S999" s="69"/>
      <c r="X999" s="69"/>
      <c r="AF999" s="69"/>
      <c r="AK999" s="69"/>
      <c r="AM999" s="69"/>
      <c r="AS999" s="69"/>
      <c r="AU999" s="3"/>
      <c r="AV999" s="69"/>
      <c r="AZ999" s="30"/>
    </row>
    <row r="1000">
      <c r="C1000" s="3"/>
      <c r="D1000" s="69"/>
      <c r="H1000" s="69"/>
      <c r="O1000" s="49"/>
      <c r="P1000" s="69"/>
      <c r="S1000" s="69"/>
      <c r="X1000" s="69"/>
      <c r="AF1000" s="69"/>
      <c r="AK1000" s="69"/>
      <c r="AM1000" s="69"/>
      <c r="AS1000" s="69"/>
      <c r="AU1000" s="3"/>
      <c r="AV1000" s="69"/>
      <c r="AZ1000" s="30"/>
    </row>
    <row r="1001">
      <c r="C1001" s="3"/>
      <c r="D1001" s="69"/>
      <c r="H1001" s="69"/>
      <c r="O1001" s="49"/>
      <c r="P1001" s="69"/>
      <c r="S1001" s="69"/>
      <c r="X1001" s="69"/>
      <c r="AF1001" s="69"/>
      <c r="AK1001" s="69"/>
      <c r="AM1001" s="69"/>
      <c r="AS1001" s="69"/>
      <c r="AU1001" s="3"/>
      <c r="AV1001" s="69"/>
      <c r="AZ1001" s="30"/>
    </row>
    <row r="1002">
      <c r="C1002" s="3"/>
      <c r="D1002" s="69"/>
      <c r="H1002" s="69"/>
      <c r="O1002" s="49"/>
      <c r="P1002" s="69"/>
      <c r="S1002" s="69"/>
      <c r="X1002" s="69"/>
      <c r="AF1002" s="69"/>
      <c r="AK1002" s="69"/>
      <c r="AM1002" s="69"/>
      <c r="AS1002" s="69"/>
      <c r="AU1002" s="3"/>
      <c r="AV1002" s="69"/>
      <c r="AZ1002" s="30"/>
    </row>
    <row r="1003">
      <c r="C1003" s="3"/>
      <c r="D1003" s="69"/>
      <c r="H1003" s="69"/>
      <c r="O1003" s="49"/>
      <c r="P1003" s="69"/>
      <c r="S1003" s="69"/>
      <c r="X1003" s="69"/>
      <c r="AF1003" s="69"/>
      <c r="AK1003" s="69"/>
      <c r="AM1003" s="69"/>
      <c r="AS1003" s="69"/>
      <c r="AU1003" s="3"/>
      <c r="AV1003" s="69"/>
      <c r="AZ1003" s="30"/>
    </row>
    <row r="1004">
      <c r="C1004" s="3"/>
      <c r="D1004" s="69"/>
      <c r="H1004" s="69"/>
      <c r="O1004" s="49"/>
      <c r="P1004" s="69"/>
      <c r="S1004" s="69"/>
      <c r="X1004" s="69"/>
      <c r="AF1004" s="69"/>
      <c r="AK1004" s="69"/>
      <c r="AM1004" s="69"/>
      <c r="AS1004" s="69"/>
      <c r="AU1004" s="3"/>
      <c r="AV1004" s="69"/>
      <c r="AZ1004" s="30"/>
    </row>
    <row r="1005">
      <c r="C1005" s="3"/>
      <c r="D1005" s="69"/>
      <c r="H1005" s="69"/>
      <c r="O1005" s="49"/>
      <c r="P1005" s="69"/>
      <c r="S1005" s="69"/>
      <c r="X1005" s="69"/>
      <c r="AF1005" s="69"/>
      <c r="AK1005" s="69"/>
      <c r="AM1005" s="69"/>
      <c r="AS1005" s="69"/>
      <c r="AU1005" s="3"/>
      <c r="AV1005" s="69"/>
      <c r="AZ1005" s="30"/>
    </row>
  </sheetData>
  <mergeCells count="26">
    <mergeCell ref="A1:C1"/>
    <mergeCell ref="D1:G1"/>
    <mergeCell ref="H1:N1"/>
    <mergeCell ref="P1:R1"/>
    <mergeCell ref="S1:W1"/>
    <mergeCell ref="X1:AE1"/>
    <mergeCell ref="AF1:AI1"/>
    <mergeCell ref="AK1:AL1"/>
    <mergeCell ref="AM1:AR1"/>
    <mergeCell ref="AS1:AU1"/>
    <mergeCell ref="AV1:AY1"/>
    <mergeCell ref="V23:W23"/>
    <mergeCell ref="AC32:AE32"/>
    <mergeCell ref="AC33:AE33"/>
    <mergeCell ref="X41:AE41"/>
    <mergeCell ref="AF41:AI41"/>
    <mergeCell ref="AM41:AR41"/>
    <mergeCell ref="AS41:AU41"/>
    <mergeCell ref="AV41:BC41"/>
    <mergeCell ref="V33:W33"/>
    <mergeCell ref="V34:W34"/>
    <mergeCell ref="AC34:AE34"/>
    <mergeCell ref="A41:B41"/>
    <mergeCell ref="D41:G41"/>
    <mergeCell ref="P41:R41"/>
    <mergeCell ref="S41:W41"/>
  </mergeCells>
  <hyperlinks>
    <hyperlink r:id="rId2" ref="B6"/>
    <hyperlink r:id="rId3" ref="B7"/>
    <hyperlink r:id="rId4" ref="B11"/>
    <hyperlink r:id="rId5" ref="B12"/>
    <hyperlink r:id="rId6" ref="B13"/>
    <hyperlink r:id="rId7" ref="B14"/>
    <hyperlink r:id="rId8" ref="B15"/>
    <hyperlink r:id="rId9" ref="B16"/>
    <hyperlink r:id="rId10" ref="B17"/>
    <hyperlink r:id="rId11" ref="B21"/>
    <hyperlink r:id="rId12" ref="B22"/>
    <hyperlink r:id="rId13" ref="B23"/>
    <hyperlink r:id="rId14" ref="B24"/>
    <hyperlink r:id="rId15" ref="B25"/>
    <hyperlink r:id="rId16" ref="B26"/>
    <hyperlink r:id="rId17" ref="B27"/>
    <hyperlink r:id="rId18" ref="B32"/>
    <hyperlink r:id="rId19" ref="B33"/>
    <hyperlink r:id="rId20" ref="B34"/>
    <hyperlink r:id="rId21" ref="B37"/>
    <hyperlink r:id="rId22" ref="B38"/>
    <hyperlink r:id="rId23" ref="B54"/>
    <hyperlink r:id="rId24" ref="B55"/>
    <hyperlink r:id="rId25" ref="B56"/>
    <hyperlink r:id="rId26" ref="B57"/>
    <hyperlink r:id="rId27" ref="B58"/>
    <hyperlink r:id="rId28" ref="B59"/>
    <hyperlink r:id="rId29" ref="B60"/>
    <hyperlink r:id="rId30" ref="B61"/>
    <hyperlink r:id="rId31" ref="B62"/>
    <hyperlink r:id="rId32" ref="B63"/>
    <hyperlink r:id="rId33" ref="B64"/>
    <hyperlink r:id="rId34" ref="B65"/>
    <hyperlink r:id="rId35" ref="B66"/>
    <hyperlink r:id="rId36" ref="B67"/>
    <hyperlink r:id="rId37" ref="B68"/>
    <hyperlink r:id="rId38" ref="B69"/>
    <hyperlink r:id="rId39" ref="B70"/>
    <hyperlink r:id="rId40" ref="B71"/>
    <hyperlink r:id="rId41" ref="B72"/>
    <hyperlink r:id="rId42" ref="B73"/>
    <hyperlink r:id="rId43" ref="B74"/>
    <hyperlink r:id="rId44" ref="B75"/>
    <hyperlink r:id="rId45" ref="B76"/>
  </hyperlinks>
  <printOptions gridLines="1" horizontalCentered="1"/>
  <pageMargins bottom="0.75" footer="0.0" header="0.0" left="0.7" right="0.7" top="0.75"/>
  <pageSetup fitToHeight="0" cellComments="atEnd" orientation="portrait" pageOrder="overThenDown"/>
  <drawing r:id="rId46"/>
  <legacyDrawing r:id="rId47"/>
</worksheet>
</file>